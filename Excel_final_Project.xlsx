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excel\"/>
    </mc:Choice>
  </mc:AlternateContent>
  <xr:revisionPtr revIDLastSave="0" documentId="13_ncr:1_{1F9DAC4F-6ABB-45FE-8884-BFDE98B5BEA2}" xr6:coauthVersionLast="47" xr6:coauthVersionMax="47" xr10:uidLastSave="{00000000-0000-0000-0000-000000000000}"/>
  <bookViews>
    <workbookView xWindow="-108" yWindow="-108" windowWidth="23256" windowHeight="12456" xr2:uid="{4420877F-A2FC-4161-AE2E-B20CE74F9B08}"/>
  </bookViews>
  <sheets>
    <sheet name="Dataset" sheetId="1" r:id="rId1"/>
    <sheet name="Date&amp; Time" sheetId="2" r:id="rId2"/>
    <sheet name="Filter" sheetId="3" r:id="rId3"/>
    <sheet name="condition formatting" sheetId="4" r:id="rId4"/>
    <sheet name="timestamp" sheetId="5" r:id="rId5"/>
    <sheet name="Goal seek" sheetId="6" r:id="rId6"/>
    <sheet name="Scenario Summary" sheetId="19" r:id="rId7"/>
    <sheet name="linear Regression" sheetId="7" r:id="rId8"/>
    <sheet name="High value customer" sheetId="20" r:id="rId9"/>
    <sheet name="Pivot" sheetId="17" r:id="rId10"/>
    <sheet name="Repeating name" sheetId="12" r:id="rId11"/>
    <sheet name="Extract maching names" sheetId="13" r:id="rId12"/>
    <sheet name="TEXT function" sheetId="15" r:id="rId13"/>
    <sheet name="Dashboard &amp; Report" sheetId="18" r:id="rId14"/>
  </sheets>
  <definedNames>
    <definedName name="_xlnm._FilterDatabase" localSheetId="0" hidden="1">Dataset!$A$1:$N$251</definedName>
    <definedName name="_xlchart.v2.0" hidden="1">Pivot!$I$5:$I$14</definedName>
    <definedName name="_xlchart.v2.1" hidden="1">Pivot!$J$4</definedName>
    <definedName name="_xlchart.v2.2" hidden="1">Pivot!$J$5:$J$14</definedName>
    <definedName name="Slicer_Category1">#N/A</definedName>
    <definedName name="Slicer_Month">#N/A</definedName>
    <definedName name="Slicer_Year">#N/A</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3" l="1"/>
  <c r="D4" i="13"/>
  <c r="D5" i="13"/>
  <c r="D6" i="13"/>
  <c r="D7"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 i="13"/>
  <c r="D3" i="13"/>
  <c r="T3" i="20"/>
  <c r="T19" i="20"/>
  <c r="T27" i="20"/>
  <c r="T35" i="20"/>
  <c r="T43" i="20"/>
  <c r="T51" i="20"/>
  <c r="S4" i="20"/>
  <c r="T4" i="20" s="1"/>
  <c r="S5" i="20"/>
  <c r="T5" i="20" s="1"/>
  <c r="S6" i="20"/>
  <c r="T6" i="20" s="1"/>
  <c r="S7" i="20"/>
  <c r="T7" i="20" s="1"/>
  <c r="S8" i="20"/>
  <c r="T8" i="20" s="1"/>
  <c r="S9" i="20"/>
  <c r="T9" i="20" s="1"/>
  <c r="S10" i="20"/>
  <c r="T10" i="20" s="1"/>
  <c r="S11" i="20"/>
  <c r="T11" i="20" s="1"/>
  <c r="S12" i="20"/>
  <c r="T12" i="20" s="1"/>
  <c r="S13" i="20"/>
  <c r="T13" i="20" s="1"/>
  <c r="S14" i="20"/>
  <c r="T14" i="20" s="1"/>
  <c r="S15" i="20"/>
  <c r="T15" i="20" s="1"/>
  <c r="S16" i="20"/>
  <c r="T16" i="20" s="1"/>
  <c r="S17" i="20"/>
  <c r="T17" i="20" s="1"/>
  <c r="S18" i="20"/>
  <c r="T18" i="20" s="1"/>
  <c r="S19" i="20"/>
  <c r="S20" i="20"/>
  <c r="T20" i="20" s="1"/>
  <c r="S21" i="20"/>
  <c r="T21" i="20" s="1"/>
  <c r="S22" i="20"/>
  <c r="T22" i="20" s="1"/>
  <c r="S23" i="20"/>
  <c r="T23" i="20" s="1"/>
  <c r="S24" i="20"/>
  <c r="T24" i="20" s="1"/>
  <c r="S25" i="20"/>
  <c r="T25" i="20" s="1"/>
  <c r="S26" i="20"/>
  <c r="T26" i="20" s="1"/>
  <c r="S27" i="20"/>
  <c r="S28" i="20"/>
  <c r="T28" i="20" s="1"/>
  <c r="S29" i="20"/>
  <c r="T29" i="20" s="1"/>
  <c r="S30" i="20"/>
  <c r="T30" i="20" s="1"/>
  <c r="S31" i="20"/>
  <c r="T31" i="20" s="1"/>
  <c r="S32" i="20"/>
  <c r="T32" i="20" s="1"/>
  <c r="S33" i="20"/>
  <c r="T33" i="20" s="1"/>
  <c r="S34" i="20"/>
  <c r="T34" i="20" s="1"/>
  <c r="S35" i="20"/>
  <c r="S36" i="20"/>
  <c r="T36" i="20" s="1"/>
  <c r="S37" i="20"/>
  <c r="T37" i="20" s="1"/>
  <c r="S38" i="20"/>
  <c r="T38" i="20" s="1"/>
  <c r="S39" i="20"/>
  <c r="T39" i="20" s="1"/>
  <c r="S40" i="20"/>
  <c r="T40" i="20" s="1"/>
  <c r="S41" i="20"/>
  <c r="T41" i="20" s="1"/>
  <c r="S42" i="20"/>
  <c r="T42" i="20" s="1"/>
  <c r="S43" i="20"/>
  <c r="S44" i="20"/>
  <c r="T44" i="20" s="1"/>
  <c r="S45" i="20"/>
  <c r="T45" i="20" s="1"/>
  <c r="S46" i="20"/>
  <c r="T46" i="20" s="1"/>
  <c r="S47" i="20"/>
  <c r="T47" i="20" s="1"/>
  <c r="S48" i="20"/>
  <c r="T48" i="20" s="1"/>
  <c r="S49" i="20"/>
  <c r="T49" i="20" s="1"/>
  <c r="S50" i="20"/>
  <c r="T50" i="20" s="1"/>
  <c r="S51" i="20"/>
  <c r="R3" i="20" a="1"/>
  <c r="R3" i="20" s="1"/>
  <c r="S3" i="20" s="1"/>
  <c r="C3" i="6" l="1"/>
  <c r="C4" i="6"/>
  <c r="C5" i="6"/>
  <c r="C6" i="6"/>
  <c r="C7" i="6"/>
  <c r="C8" i="6"/>
  <c r="C9" i="6"/>
  <c r="C2" i="6"/>
  <c r="P4" i="3" a="1"/>
  <c r="P4" i="3" s="1"/>
  <c r="R5" i="17"/>
  <c r="R6" i="17"/>
  <c r="R7" i="17"/>
  <c r="R8" i="17"/>
  <c r="R4"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I6" i="17"/>
  <c r="I7" i="17"/>
  <c r="I8" i="17"/>
  <c r="I9" i="17"/>
  <c r="I10" i="17"/>
  <c r="I11" i="17"/>
  <c r="I12" i="17"/>
  <c r="I13" i="17"/>
  <c r="I14" i="17"/>
  <c r="I5" i="17"/>
  <c r="B2" i="15"/>
  <c r="B20" i="15"/>
  <c r="B3" i="15"/>
  <c r="B4" i="15"/>
  <c r="B5" i="15"/>
  <c r="B6" i="15"/>
  <c r="B7" i="15"/>
  <c r="B8" i="15"/>
  <c r="B9" i="15"/>
  <c r="B10" i="15"/>
  <c r="B11" i="15"/>
  <c r="B12" i="15"/>
  <c r="B13" i="15"/>
  <c r="B14" i="15"/>
  <c r="B15" i="15"/>
  <c r="B16" i="15"/>
  <c r="B17" i="15"/>
  <c r="B18" i="15"/>
  <c r="B19" i="15"/>
  <c r="P8" i="12" a="1"/>
  <c r="P8" i="12" s="1"/>
  <c r="J6" i="17"/>
  <c r="S8" i="17"/>
  <c r="J7" i="17"/>
  <c r="S6" i="17"/>
  <c r="S7" i="17"/>
  <c r="S4" i="17"/>
  <c r="J10" i="17"/>
  <c r="J14" i="17"/>
  <c r="J5" i="17"/>
  <c r="J11" i="17"/>
  <c r="S5" i="17"/>
  <c r="J9" i="17"/>
  <c r="J8" i="17"/>
  <c r="J12" i="17"/>
  <c r="J13" i="17"/>
  <c r="I19" i="17"/>
  <c r="A5" i="17"/>
  <c r="P3" i="5" l="1"/>
  <c r="F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8" i="2"/>
  <c r="F4" i="2"/>
  <c r="C4" i="2"/>
  <c r="T52" i="20" l="1"/>
  <c r="S52" i="2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<sst xmlns="http://schemas.openxmlformats.org/spreadsheetml/2006/main" count="14542" uniqueCount="478">
  <si>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</si>
  <si>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</si>
  <si>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</si>
  <si>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</si>
  <si>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</si>
  <si>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</si>
  <si>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</si>
  <si>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</si>
  <si>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</si>
  <si>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</si>
  <si>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</si>
  <si>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</si>
  <si>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</si>
  <si>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</si>
  <si>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</si>
  <si>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</si>
  <si>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</si>
  <si>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</si>
  <si>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</si>
  <si>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</si>
  <si>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</si>
  <si>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</si>
  <si>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</si>
  <si>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</si>
  <si>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</si>
  <si>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</si>
  <si>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</si>
  <si>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</si>
  <si>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</si>
  <si>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</si>
  <si>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</si>
  <si>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</si>
  <si>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</si>
  <si>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</si>
  <si>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</si>
  <si>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</si>
  <si>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</si>
  <si>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</si>
  <si>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</si>
  <si>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</si>
  <si>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</si>
  <si>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</si>
  <si>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</si>
  <si>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</si>
  <si>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</si>
  <si>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</si>
  <si>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</si>
  <si>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</si>
  <si>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</si>
  <si>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</si>
  <si>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</si>
  <si>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</si>
  <si>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</si>
  <si>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</si>
  <si>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</si>
  <si>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</si>
  <si>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</si>
  <si>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</si>
  <si>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</si>
  <si>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</si>
  <si>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</si>
  <si>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</si>
  <si>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</si>
  <si>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</si>
  <si>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</si>
  <si>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</si>
  <si>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</si>
  <si>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</si>
  <si>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</si>
  <si>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</si>
  <si>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</si>
  <si>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</si>
  <si>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</si>
  <si>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</si>
  <si>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</si>
  <si>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</si>
  <si>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</si>
  <si>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</si>
  <si>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</si>
  <si>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</si>
  <si>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</si>
  <si>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</si>
  <si>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</si>
  <si>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</si>
  <si>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</si>
  <si>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</si>
  <si>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</si>
  <si>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</si>
  <si>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</si>
  <si>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</si>
  <si>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</si>
  <si>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</si>
  <si>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</si>
  <si>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</si>
  <si>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</si>
  <si>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</si>
  <si>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</si>
  <si>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</si>
  <si>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</si>
  <si>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</si>
  <si>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</si>
  <si>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</si>
  <si>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</si>
  <si>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</si>
  <si>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</si>
  <si>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</si>
  <si>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</si>
  <si>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</si>
  <si>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</si>
  <si>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</si>
  <si>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</si>
  <si>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</si>
  <si>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</si>
  <si>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</si>
  <si>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</si>
  <si>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</si>
  <si>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</si>
  <si>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</si>
  <si>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</si>
  <si>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</si>
  <si>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</si>
  <si>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</si>
  <si>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</si>
  <si>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</si>
  <si>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</si>
  <si>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</si>
  <si>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</si>
  <si>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</si>
  <si>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</si>
  <si>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</si>
  <si>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</si>
  <si>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</si>
  <si>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</si>
  <si>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</si>
  <si>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</si>
  <si>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</si>
  <si>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</si>
  <si>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</si>
  <si>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</si>
  <si>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</si>
  <si>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</si>
  <si>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</si>
  <si>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</si>
  <si>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</si>
  <si>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</si>
  <si>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</si>
  <si>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</si>
  <si>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</si>
  <si>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</si>
  <si>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</si>
  <si>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</si>
  <si>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</si>
  <si>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</si>
  <si>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</si>
  <si>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</si>
  <si>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</si>
  <si>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</si>
  <si>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</si>
  <si>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</si>
  <si>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</si>
  <si>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</si>
  <si>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</si>
  <si>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</si>
  <si>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</si>
  <si>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</si>
  <si>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</si>
  <si>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</si>
  <si>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</si>
  <si>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</si>
  <si>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</si>
  <si>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</si>
  <si>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</si>
  <si>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</si>
  <si>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</si>
  <si>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</si>
  <si>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</si>
  <si>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</si>
  <si>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</si>
  <si>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</si>
  <si>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</si>
  <si>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</si>
  <si>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</si>
  <si>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</si>
  <si>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</si>
  <si>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</si>
  <si>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</si>
  <si>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</si>
  <si>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</si>
  <si>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</si>
  <si>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</si>
  <si>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</si>
  <si>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</si>
  <si>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</si>
  <si>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</si>
  <si>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</si>
  <si>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</si>
  <si>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</si>
  <si>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</si>
  <si>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</si>
  <si>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</si>
  <si>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</si>
  <si>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</si>
  <si>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</si>
  <si>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</si>
  <si>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</si>
  <si>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</si>
  <si>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</si>
  <si>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</si>
  <si>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</si>
  <si>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</si>
  <si>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</si>
  <si>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</si>
  <si>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</si>
  <si>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</si>
  <si>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</si>
  <si>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</si>
  <si>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</si>
  <si>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</si>
  <si>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</si>
  <si>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</si>
  <si>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</si>
  <si>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</si>
  <si>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</si>
  <si>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</si>
  <si>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</si>
  <si>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</si>
  <si>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</si>
  <si>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</si>
  <si>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</si>
  <si>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</si>
  <si>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</si>
  <si>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</si>
  <si>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</si>
  <si>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</si>
  <si>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</si>
  <si>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</si>
  <si>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</si>
  <si>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</si>
  <si>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</si>
  <si>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</si>
  <si>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</si>
  <si>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</si>
  <si>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</si>
  <si>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</si>
  <si>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</si>
  <si>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</si>
  <si>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</si>
  <si>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</si>
  <si>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</si>
  <si>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</si>
  <si>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</si>
  <si>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</si>
  <si>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</si>
  <si>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</si>
  <si>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</si>
  <si>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</si>
  <si>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</si>
  <si>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</si>
  <si>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</si>
  <si>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</si>
  <si>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</si>
  <si>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</si>
  <si>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</si>
  <si>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</si>
  <si>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</si>
  <si>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</si>
  <si>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</si>
  <si>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</si>
  <si>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</si>
  <si>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</si>
  <si>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</si>
  <si>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</si>
  <si>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</si>
  <si>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</si>
  <si>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</si>
  <si>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</si>
  <si>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</si>
  <si>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</si>
  <si>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</si>
  <si>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</si>
  <si>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</si>
  <si>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</si>
  <si>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</si>
  <si>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</si>
  <si>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</si>
  <si>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</si>
  <si>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</si>
  <si>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</si>
  <si>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</si>
  <si>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</si>
  <si>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</si>
  <si>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</si>
  <si>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</si>
  <si>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</si>
  <si>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</si>
  <si>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</si>
  <si>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</si>
  <si>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</si>
  <si>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</si>
  <si>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</si>
  <si>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</si>
  <si>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</si>
  <si>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</si>
  <si>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</si>
  <si>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</si>
  <si>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</si>
  <si>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</si>
  <si>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</si>
  <si>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</si>
  <si>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</si>
  <si>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</si>
  <si>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</si>
  <si>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</si>
  <si>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</si>
  <si>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</si>
  <si>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</si>
  <si>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</si>
  <si>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</si>
  <si>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</si>
  <si>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</si>
  <si>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</si>
  <si>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</si>
  <si>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</si>
  <si>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</si>
  <si>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</si>
  <si>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</si>
  <si>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</si>
  <si>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</si>
  <si>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</si>
  <si>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</si>
  <si>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</si>
  <si>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</si>
  <si>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</si>
  <si>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</si>
  <si>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</si>
  <si>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</si>
  <si>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</si>
  <si>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</si>
  <si>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</si>
  <si>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</si>
  <si>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</si>
  <si>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</si>
  <si>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</si>
  <si>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</si>
  <si>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</si>
  <si>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</si>
  <si>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</si>
  <si>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</si>
  <si>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</si>
  <si>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</si>
  <si>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</si>
  <si>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</si>
  <si>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</si>
  <si>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</si>
  <si>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</si>
  <si>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</si>
  <si>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</si>
  <si>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</si>
  <si>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</si>
  <si>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</si>
  <si>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</si>
  <si>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</si>
  <si>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</si>
  <si>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</si>
  <si>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</si>
  <si>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</si>
  <si>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</si>
  <si>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</si>
  <si>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</si>
  <si>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</si>
  <si>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</si>
  <si>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</si>
  <si>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</si>
  <si>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</si>
  <si>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</si>
  <si>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</si>
  <si>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</si>
  <si>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</si>
  <si>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</si>
  <si>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</si>
  <si>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</si>
  <si>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</si>
  <si>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</si>
  <si>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</si>
  <si>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</si>
  <si>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</si>
  <si>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</si>
  <si>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</si>
  <si>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</si>
  <si>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</si>
  <si>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</si>
  <si>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</si>
  <si>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</si>
  <si>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</si>
  <si>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</si>
  <si>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</si>
  <si>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</si>
  <si>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</si>
  <si>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</si>
  <si>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</si>
  <si>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TODAY():</t>
  </si>
  <si>
    <t>NOW:</t>
  </si>
  <si>
    <t>NOW()</t>
  </si>
  <si>
    <t>DATEDIF</t>
  </si>
  <si>
    <t>DATEDIF(B8,A8,"Y")</t>
  </si>
  <si>
    <t>EOMONTH</t>
  </si>
  <si>
    <t>EOMONTH(B8,2)</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</si>
  <si>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</si>
  <si>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</si>
  <si>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</si>
  <si>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</si>
  <si>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</si>
  <si>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</si>
  <si>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</si>
  <si>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</si>
  <si>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</si>
  <si>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</si>
  <si>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</si>
  <si>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</si>
  <si>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</si>
  <si>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</si>
  <si>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</si>
  <si>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</si>
  <si>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</si>
  <si>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</si>
  <si>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</si>
  <si>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</si>
  <si>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</si>
  <si>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</si>
  <si>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</si>
  <si>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</si>
  <si>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</si>
  <si>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UNIT PRICE / TOTAL AMOUNT</t>
  </si>
  <si>
    <t>Row Labels</t>
  </si>
  <si>
    <t>Grand Total</t>
  </si>
  <si>
    <t>Sum of Quantity</t>
  </si>
  <si>
    <t>INDEX(D5:D254, MODE(MATCH(D5:D254, D5:D254, 0)))</t>
  </si>
  <si>
    <t>TEXT(A2,"MM-DD-YY")</t>
  </si>
  <si>
    <t>Sum of Total_Amount</t>
  </si>
  <si>
    <t>(blank)</t>
  </si>
  <si>
    <t>Month</t>
  </si>
  <si>
    <t>Year</t>
  </si>
  <si>
    <t>Total sales</t>
  </si>
  <si>
    <t>Total quantity sold of each Product</t>
  </si>
  <si>
    <t>Total sales by Category</t>
  </si>
  <si>
    <t>Total sales by Product</t>
  </si>
  <si>
    <t>Product</t>
  </si>
  <si>
    <t>Sales</t>
  </si>
  <si>
    <t>Count of Customer_Name</t>
  </si>
  <si>
    <t>Customer count by Year</t>
  </si>
  <si>
    <t>Sales by Region</t>
  </si>
  <si>
    <t>Top 5 Customers</t>
  </si>
  <si>
    <t>Sales By Month</t>
  </si>
  <si>
    <t>Total Quantity</t>
  </si>
  <si>
    <t>Column Labels</t>
  </si>
  <si>
    <t>FILTER(A2:N501, F2:F501="Laptop", "No results")</t>
  </si>
  <si>
    <t>$A$2</t>
  </si>
  <si>
    <t>$B$2</t>
  </si>
  <si>
    <t>$C$2</t>
  </si>
  <si>
    <t>Base_case</t>
  </si>
  <si>
    <t>Created by Admin on 08-02-2026</t>
  </si>
  <si>
    <t>High_demand</t>
  </si>
  <si>
    <t>highest_demand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</si>
  <si>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</si>
  <si>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</si>
  <si>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</si>
  <si>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</si>
  <si>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</si>
  <si>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</si>
  <si>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</si>
  <si>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 : 1000</t>
  </si>
  <si>
    <t>Set cell : C8</t>
  </si>
  <si>
    <t>By changing cell : A8</t>
  </si>
  <si>
    <t>Goal Seek</t>
  </si>
  <si>
    <t>UNIQUE(D2:D501)</t>
  </si>
  <si>
    <t>SUMIF(D:D,R3,N:N)</t>
  </si>
  <si>
    <t>IF(S3&gt;=5000,"High Value","Normal")</t>
  </si>
  <si>
    <t>IF(COUNTIF($C:$C,B2)&gt;0,B2,"")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</si>
</sst>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4" x14ac:knownFonts="1">
    <font>
      <sz val="11"/>
      <color theme="1"/>
      <name val="Calibri"/>
      <family val="2"/>
      <scheme val="minor"/>
    </font>
    <font>
      <sz val="11"/>
      <color rgb="FF0061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1"/>
      <color theme="1"/>
      <name val="Calibri"/>
      <family val="2"/>
      <scheme val="minor"/>
    </font>
    <font>
      <b/>
      <sz val="14"/>
      <color theme="1"/>
      <name val="Calibri"/>
      <family val="2"/>
      <scheme val="minor"/>
    </font>
    <font>
      <b/>
      <sz val="11"/>
      <color rgb="FFFFFFFF"/>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9">
    <fill>
      <patternFill patternType="none"/>
    </fill>
    <fill>
      <patternFill patternType="gray125"/>
    </fill>
    <fill>
      <patternFill patternType="solid">
        <fgColor rgb="FFC6EFCE"/>
      </patternFill>
    </fill>
    <fill>
      <patternFill patternType="solid">
        <fgColor rgb="FFFFFFCC"/>
      </patternFill>
    </fill>
    <fill>
      <patternFill patternType="solid">
        <fgColor rgb="FF4472C4"/>
        <bgColor rgb="FF4472C4"/>
      </patternFill>
    </fill>
    <fill>
      <patternFill patternType="solid">
        <fgColor rgb="FFD9E1F2"/>
        <bgColor rgb="FFD9E1F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3" borderId="5" applyNumberFormat="0" applyFont="0" applyAlignment="0" applyProtection="0"/>
  </cellStyleXfs>
  <cellXfs count="49">
    <xf numFmtId="0" fontId="0" fillId="0" borderId="0" xfId="0"/>
    <xf numFmtId="0" fontId="0" fillId="0" borderId="1" xfId="0" applyBorder="1" applyAlignment="1">
      <alignment wrapText="1"/>
    </xf>
    <xf numFmtId="0" fontId="2" fillId="0" borderId="1" xfId="0" applyFont="1" applyBorder="1" applyAlignment="1">
      <alignment wrapText="1"/>
    </xf>
    <xf numFmtId="14" fontId="0" fillId="0" borderId="0" xfId="0" applyNumberFormat="1"/>
    <xf numFmtId="14" fontId="0" fillId="0" borderId="1" xfId="0" applyNumberFormat="1" applyBorder="1" applyAlignment="1">
      <alignment horizontal="right" wrapText="1"/>
    </xf>
    <xf numFmtId="0" fontId="0" fillId="0" borderId="1" xfId="0" applyBorder="1" applyAlignment="1">
      <alignment horizontal="right" wrapText="1"/>
    </xf>
    <xf numFmtId="0" fontId="3" fillId="0" borderId="1" xfId="0" applyFont="1" applyBorder="1" applyAlignment="1">
      <alignment wrapText="1"/>
    </xf>
    <xf numFmtId="14" fontId="4" fillId="0" borderId="2" xfId="0" applyNumberFormat="1" applyFont="1" applyBorder="1" applyAlignment="1">
      <alignment horizontal="right" wrapText="1"/>
    </xf>
    <xf numFmtId="0" fontId="1" fillId="2" borderId="0" xfId="1"/>
    <xf numFmtId="14" fontId="1" fillId="2" borderId="0" xfId="1" applyNumberFormat="1"/>
    <xf numFmtId="22" fontId="1" fillId="2" borderId="0" xfId="1" applyNumberFormat="1"/>
    <xf numFmtId="0" fontId="1" fillId="2" borderId="1" xfId="1" applyBorder="1" applyAlignment="1">
      <alignment wrapText="1"/>
    </xf>
    <xf numFmtId="22" fontId="1" fillId="2" borderId="1" xfId="1" applyNumberFormat="1" applyBorder="1" applyAlignment="1">
      <alignment wrapText="1"/>
    </xf>
    <xf numFmtId="0" fontId="0" fillId="0" borderId="3" xfId="0" applyBorder="1"/>
    <xf numFmtId="0" fontId="5" fillId="0" borderId="4" xfId="0" applyFont="1" applyBorder="1" applyAlignment="1">
      <alignment horizontal="center"/>
    </xf>
    <xf numFmtId="0" fontId="5" fillId="0" borderId="4" xfId="0" applyFont="1" applyBorder="1" applyAlignment="1">
      <alignment horizontal="centerContinuous"/>
    </xf>
    <xf numFmtId="0" fontId="0" fillId="0" borderId="0" xfId="0" pivotButton="1"/>
    <xf numFmtId="0" fontId="0" fillId="0" borderId="0" xfId="0" applyAlignment="1">
      <alignment horizontal="left"/>
    </xf>
    <xf numFmtId="0" fontId="0" fillId="0" borderId="6" xfId="0" applyBorder="1" applyAlignment="1">
      <alignment wrapText="1"/>
    </xf>
    <xf numFmtId="0" fontId="0" fillId="0" borderId="7" xfId="0" applyBorder="1" applyAlignment="1">
      <alignment horizontal="right" wrapText="1"/>
    </xf>
    <xf numFmtId="0" fontId="2" fillId="0" borderId="8" xfId="0" applyFont="1" applyBorder="1" applyAlignment="1">
      <alignment wrapText="1"/>
    </xf>
    <xf numFmtId="0" fontId="2" fillId="0" borderId="2" xfId="0" applyFont="1" applyBorder="1" applyAlignment="1">
      <alignment wrapText="1"/>
    </xf>
    <xf numFmtId="0" fontId="2" fillId="0" borderId="9" xfId="0" applyFont="1" applyBorder="1" applyAlignment="1">
      <alignment wrapText="1"/>
    </xf>
    <xf numFmtId="0" fontId="0" fillId="0" borderId="10" xfId="0" applyBorder="1" applyAlignment="1">
      <alignment wrapText="1"/>
    </xf>
    <xf numFmtId="14" fontId="0" fillId="0" borderId="11" xfId="0" applyNumberFormat="1" applyBorder="1" applyAlignment="1">
      <alignment horizontal="right" wrapText="1"/>
    </xf>
    <xf numFmtId="0" fontId="0" fillId="0" borderId="11" xfId="0" applyBorder="1" applyAlignment="1">
      <alignment wrapText="1"/>
    </xf>
    <xf numFmtId="0" fontId="0" fillId="0" borderId="11" xfId="0" applyBorder="1" applyAlignment="1">
      <alignment horizontal="right" wrapText="1"/>
    </xf>
    <xf numFmtId="0" fontId="0" fillId="0" borderId="12" xfId="0" applyBorder="1" applyAlignment="1">
      <alignment horizontal="right" wrapText="1"/>
    </xf>
    <xf numFmtId="0" fontId="0" fillId="0" borderId="2" xfId="0" applyBorder="1" applyAlignment="1">
      <alignment wrapText="1"/>
    </xf>
    <xf numFmtId="0" fontId="2" fillId="0" borderId="0" xfId="0" applyFont="1"/>
    <xf numFmtId="164" fontId="0" fillId="0" borderId="0" xfId="0" applyNumberFormat="1"/>
    <xf numFmtId="0" fontId="7" fillId="3" borderId="5" xfId="2" applyFont="1"/>
    <xf numFmtId="0" fontId="0" fillId="3" borderId="5" xfId="2" applyFont="1"/>
    <xf numFmtId="0" fontId="2" fillId="3" borderId="5" xfId="2" applyFont="1"/>
    <xf numFmtId="0" fontId="8" fillId="4" borderId="1" xfId="0" applyFont="1" applyFill="1" applyBorder="1" applyAlignment="1">
      <alignment wrapText="1"/>
    </xf>
    <xf numFmtId="0" fontId="4" fillId="5" borderId="1" xfId="0" applyFont="1" applyFill="1" applyBorder="1" applyAlignment="1">
      <alignment horizontal="right" wrapText="1"/>
    </xf>
    <xf numFmtId="0" fontId="4" fillId="0" borderId="1" xfId="0" applyFont="1" applyBorder="1" applyAlignment="1">
      <alignment horizontal="right" wrapText="1"/>
    </xf>
    <xf numFmtId="0" fontId="0" fillId="0" borderId="0" xfId="0" applyFill="1" applyBorder="1" applyAlignment="1"/>
    <xf numFmtId="0" fontId="0" fillId="0" borderId="3" xfId="0" applyFill="1" applyBorder="1" applyAlignment="1"/>
    <xf numFmtId="0" fontId="9" fillId="6" borderId="14" xfId="0" applyFont="1" applyFill="1" applyBorder="1" applyAlignment="1">
      <alignment horizontal="left"/>
    </xf>
    <xf numFmtId="0" fontId="9" fillId="6" borderId="13" xfId="0" applyFont="1" applyFill="1" applyBorder="1" applyAlignment="1">
      <alignment horizontal="left"/>
    </xf>
    <xf numFmtId="0" fontId="0" fillId="0" borderId="15" xfId="0" applyFill="1" applyBorder="1" applyAlignment="1"/>
    <xf numFmtId="0" fontId="10" fillId="7" borderId="0" xfId="0" applyFont="1" applyFill="1" applyBorder="1" applyAlignment="1">
      <alignment horizontal="left"/>
    </xf>
    <xf numFmtId="0" fontId="11" fillId="7" borderId="15" xfId="0" applyFont="1" applyFill="1" applyBorder="1" applyAlignment="1">
      <alignment horizontal="left"/>
    </xf>
    <xf numFmtId="0" fontId="10" fillId="7" borderId="3" xfId="0" applyFont="1" applyFill="1" applyBorder="1" applyAlignment="1">
      <alignment horizontal="left"/>
    </xf>
    <xf numFmtId="0" fontId="12" fillId="6" borderId="13" xfId="0" applyFont="1" applyFill="1" applyBorder="1" applyAlignment="1">
      <alignment horizontal="right"/>
    </xf>
    <xf numFmtId="0" fontId="12" fillId="6" borderId="14" xfId="0" applyFont="1" applyFill="1" applyBorder="1" applyAlignment="1">
      <alignment horizontal="right"/>
    </xf>
    <xf numFmtId="0" fontId="0" fillId="8" borderId="0" xfId="0" applyFill="1" applyBorder="1" applyAlignment="1"/>
    <xf numFmtId="0" fontId="13" fillId="0" borderId="0" xfId="0" applyFont="1" applyFill="1" applyBorder="1" applyAlignment="1">
      <alignment vertical="top" wrapText="1"/>
    </xf>
  </cellXfs>
  <cellStyles count="3">
    <cellStyle name="Good" xfId="1" builtinId="26"/>
    <cellStyle name="Normal" xfId="0" builtinId="0"/>
    <cellStyle name="Note" xfId="2" builtinId="10"/>
  </cellStyles>
  <dxfs count="30">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3298D6"/>
      <color rgb="FF99C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[Excel_final_Project.xlsx]Pivot!PivotTable9</c:name>
    <c:fmtId val="1"/>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t>Total</a:t>
            </a:r>
            <a:r>
              <a:rPr lang="en-IN" sz="1800" baseline="0"/>
              <a:t> Sales by year</a:t>
            </a:r>
            <a:endParaRPr lang="en-IN" sz="1800"/>
          </a:p>
        </c:rich>
      </c:tx>
      <c:layout>
        <c:manualLayout>
          <c:xMode val="edge"/>
          <c:yMode val="edge"/>
          <c:x val="0.33730721450598494"/>
          <c:y val="3.04851772824991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66377495363743E-2"/>
          <c:y val="0.15232557059745774"/>
          <c:w val="0.9166022973854957"/>
          <c:h val="0.64346601018879801"/>
        </c:manualLayout>
      </c:layout>
      <c:barChart>
        <c:barDir val="col"/>
        <c:grouping val="clustered"/>
        <c:varyColors val="0"/>
        <c:ser>
          <c:idx val="0"/>
          <c:order val="0"/>
          <c:tx>
            <c:strRef>
              <c:f>Pivot!$E$2:$E$3</c:f>
              <c:strCache>
                <c:ptCount val="1"/>
                <c:pt idx="0">
                  <c:v>Appliances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2021</c:v>
                </c:pt>
                <c:pt idx="1">
                  <c:v>2022</c:v>
                </c:pt>
                <c:pt idx="2">
                  <c:v>2023</c:v>
                </c:pt>
                <c:pt idx="3">
                  <c:v>2024</c:v>
                </c:pt>
              </c:strCache>
            </c:strRef>
          </c:cat>
          <c:val>
            <c:numRef>
              <c:f>Pivot!$E$4:$E$8</c:f>
              <c:numCache>
                <c:formatCode>"₹"\ #,##0</c:formatCode>
                <c:ptCount val="4"/>
                <c:pt idx="0">
                  <c:v>1339.81</c:v>
                </c:pt>
                <c:pt idx="1">
                  <c:v>2639.6</c:v>
                </c:pt>
                <c:pt idx="2">
                  <c:v>3899.3999999999992</c:v>
                </c:pt>
                <c:pt idx="3">
                  <c:v>459.93</c:v>
                </c:pt>
              </c:numCache>
            </c:numRef>
          </c:val>
          <c:extLst>
            <c:ext xmlns:c16="http://schemas.microsoft.com/office/drawing/2014/chart" uri="{C3380CC4-5D6E-409C-BE32-E72D297353CC}">
              <c16:uniqueId val="{00000000-A8DE-4AAA-ACF2-095447FF1608}"/>
            </c:ext>
          </c:extLst>
        </c:ser>
        <c:ser>
          <c:idx val="1"/>
          <c:order val="1"/>
          <c:tx>
            <c:strRef>
              <c:f>Pivot!$F$2:$F$3</c:f>
              <c:strCache>
                <c:ptCount val="1"/>
                <c:pt idx="0">
                  <c:v>Electronics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2021</c:v>
                </c:pt>
                <c:pt idx="1">
                  <c:v>2022</c:v>
                </c:pt>
                <c:pt idx="2">
                  <c:v>2023</c:v>
                </c:pt>
                <c:pt idx="3">
                  <c:v>2024</c:v>
                </c:pt>
              </c:strCache>
            </c:strRef>
          </c:cat>
          <c:val>
            <c:numRef>
              <c:f>Pivot!$F$4:$F$8</c:f>
              <c:numCache>
                <c:formatCode>"₹"\ #,##0</c:formatCode>
                <c:ptCount val="4"/>
                <c:pt idx="0">
                  <c:v>29679.15</c:v>
                </c:pt>
                <c:pt idx="1">
                  <c:v>63378.450000000004</c:v>
                </c:pt>
                <c:pt idx="2">
                  <c:v>57168.819999999992</c:v>
                </c:pt>
                <c:pt idx="3">
                  <c:v>21529.63</c:v>
                </c:pt>
              </c:numCache>
            </c:numRef>
          </c:val>
          <c:extLst>
            <c:ext xmlns:c16="http://schemas.microsoft.com/office/drawing/2014/chart" uri="{C3380CC4-5D6E-409C-BE32-E72D297353CC}">
              <c16:uniqueId val="{00000001-A8DE-4AAA-ACF2-095447FF1608}"/>
            </c:ext>
          </c:extLst>
        </c:ser>
        <c:ser>
          <c:idx val="2"/>
          <c:order val="2"/>
          <c:tx>
            <c:strRef>
              <c:f>Pivot!$G$2:$G$3</c:f>
              <c:strCache>
                <c:ptCount val="1"/>
                <c:pt idx="0">
                  <c:v>Furniture</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2021</c:v>
                </c:pt>
                <c:pt idx="1">
                  <c:v>2022</c:v>
                </c:pt>
                <c:pt idx="2">
                  <c:v>2023</c:v>
                </c:pt>
                <c:pt idx="3">
                  <c:v>2024</c:v>
                </c:pt>
              </c:strCache>
            </c:strRef>
          </c:cat>
          <c:val>
            <c:numRef>
              <c:f>Pivot!$G$4:$G$8</c:f>
              <c:numCache>
                <c:formatCode>"₹"\ #,##0</c:formatCode>
                <c:ptCount val="4"/>
                <c:pt idx="0">
                  <c:v>13649.369999999999</c:v>
                </c:pt>
                <c:pt idx="1">
                  <c:v>15799.229999999994</c:v>
                </c:pt>
                <c:pt idx="2">
                  <c:v>16199.299999999996</c:v>
                </c:pt>
                <c:pt idx="3">
                  <c:v>3449.7799999999997</c:v>
                </c:pt>
              </c:numCache>
            </c:numRef>
          </c:val>
          <c:extLst>
            <c:ext xmlns:c16="http://schemas.microsoft.com/office/drawing/2014/chart" uri="{C3380CC4-5D6E-409C-BE32-E72D297353CC}">
              <c16:uniqueId val="{00000002-A8DE-4AAA-ACF2-095447FF1608}"/>
            </c:ext>
          </c:extLst>
        </c:ser>
        <c:dLbls>
          <c:dLblPos val="outEnd"/>
          <c:showLegendKey val="0"/>
          <c:showVal val="1"/>
          <c:showCatName val="0"/>
          <c:showSerName val="0"/>
          <c:showPercent val="0"/>
          <c:showBubbleSize val="0"/>
        </c:dLbls>
        <c:gapWidth val="100"/>
        <c:overlap val="-24"/>
        <c:axId val="298095536"/>
        <c:axId val="298098416"/>
      </c:barChart>
      <c:catAx>
        <c:axId val="298095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98416"/>
        <c:crosses val="autoZero"/>
        <c:auto val="1"/>
        <c:lblAlgn val="ctr"/>
        <c:lblOffset val="100"/>
        <c:noMultiLvlLbl val="0"/>
      </c:catAx>
      <c:valAx>
        <c:axId val="298098416"/>
        <c:scaling>
          <c:orientation val="minMax"/>
        </c:scaling>
        <c:delete val="1"/>
        <c:axPos val="l"/>
        <c:numFmt formatCode="&quot;₹&quot;\ #,##0" sourceLinked="1"/>
        <c:majorTickMark val="none"/>
        <c:minorTickMark val="none"/>
        <c:tickLblPos val="nextTo"/>
        <c:crossAx val="29809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Customer</a:t>
            </a:r>
            <a:r>
              <a:rPr lang="en-US" baseline="0"/>
              <a:t>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644860017497812"/>
          <c:y val="0.24939596092155147"/>
          <c:w val="0.41147353455818025"/>
          <c:h val="0.68578922426363376"/>
        </c:manualLayout>
      </c:layout>
      <c:doughnutChart>
        <c:varyColors val="1"/>
        <c:ser>
          <c:idx val="0"/>
          <c:order val="0"/>
          <c:tx>
            <c:strRef>
              <c:f>Pivot!$P$3</c:f>
              <c:strCache>
                <c:ptCount val="1"/>
                <c:pt idx="0">
                  <c:v>Total</c:v>
                </c:pt>
              </c:strCache>
            </c:strRef>
          </c:tx>
          <c:dPt>
            <c:idx val="0"/>
            <c:bubble3D val="0"/>
            <c:explosion val="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8B-44F5-92F7-90997F6C2D59}"/>
              </c:ext>
            </c:extLst>
          </c:dPt>
          <c:dPt>
            <c:idx val="1"/>
            <c:bubble3D val="0"/>
            <c:explosion val="6"/>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D8B-44F5-92F7-90997F6C2D59}"/>
              </c:ext>
            </c:extLst>
          </c:dPt>
          <c:dPt>
            <c:idx val="2"/>
            <c:bubble3D val="0"/>
            <c:explosion val="1"/>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D8B-44F5-92F7-90997F6C2D59}"/>
              </c:ext>
            </c:extLst>
          </c:dPt>
          <c:dPt>
            <c:idx val="3"/>
            <c:bubble3D val="0"/>
            <c:explosion val="8"/>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D8B-44F5-92F7-90997F6C2D59}"/>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Pivot!$O$4:$O$8</c:f>
              <c:strCache>
                <c:ptCount val="4"/>
                <c:pt idx="0">
                  <c:v>2024</c:v>
                </c:pt>
                <c:pt idx="1">
                  <c:v>2021</c:v>
                </c:pt>
                <c:pt idx="2">
                  <c:v>2022</c:v>
                </c:pt>
                <c:pt idx="3">
                  <c:v>2023</c:v>
                </c:pt>
              </c:strCache>
            </c:strRef>
          </c:cat>
          <c:val>
            <c:numRef>
              <c:f>Pivot!$P$4:$P$8</c:f>
              <c:numCache>
                <c:formatCode>General</c:formatCode>
                <c:ptCount val="4"/>
                <c:pt idx="0">
                  <c:v>22</c:v>
                </c:pt>
                <c:pt idx="1">
                  <c:v>51</c:v>
                </c:pt>
                <c:pt idx="2">
                  <c:v>94</c:v>
                </c:pt>
                <c:pt idx="3">
                  <c:v>83</c:v>
                </c:pt>
              </c:numCache>
            </c:numRef>
          </c:val>
          <c:extLst>
            <c:ext xmlns:c16="http://schemas.microsoft.com/office/drawing/2014/chart" uri="{C3380CC4-5D6E-409C-BE32-E72D297353CC}">
              <c16:uniqueId val="{00000008-9D8B-44F5-92F7-90997F6C2D5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Region</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Pivot!$S$3</c:f>
              <c:strCache>
                <c:ptCount val="1"/>
                <c:pt idx="0">
                  <c:v>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Pivot!$R$4:$R$8</c:f>
              <c:strCache>
                <c:ptCount val="5"/>
                <c:pt idx="0">
                  <c:v>Central</c:v>
                </c:pt>
                <c:pt idx="1">
                  <c:v>East</c:v>
                </c:pt>
                <c:pt idx="2">
                  <c:v>North</c:v>
                </c:pt>
                <c:pt idx="3">
                  <c:v>South</c:v>
                </c:pt>
                <c:pt idx="4">
                  <c:v>West</c:v>
                </c:pt>
              </c:strCache>
            </c:strRef>
          </c:cat>
          <c:val>
            <c:numRef>
              <c:f>Pivot!$S$4:$S$8</c:f>
              <c:numCache>
                <c:formatCode>"₹"\ #,##0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01B1-4F2F-9D46-D291C14B8C28}"/>
            </c:ext>
          </c:extLst>
        </c:ser>
        <c:dLbls>
          <c:showLegendKey val="0"/>
          <c:showVal val="1"/>
          <c:showCatName val="0"/>
          <c:showSerName val="0"/>
          <c:showPercent val="0"/>
          <c:showBubbleSize val="0"/>
        </c:dLbls>
        <c:gapWidth val="150"/>
        <c:shape val="box"/>
        <c:axId val="696168144"/>
        <c:axId val="696171024"/>
        <c:axId val="0"/>
      </c:bar3DChart>
      <c:catAx>
        <c:axId val="69616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171024"/>
        <c:crosses val="autoZero"/>
        <c:auto val="1"/>
        <c:lblAlgn val="ctr"/>
        <c:lblOffset val="100"/>
        <c:noMultiLvlLbl val="0"/>
      </c:catAx>
      <c:valAx>
        <c:axId val="696171024"/>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696168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[Excel_final_Project.xlsx]Pivot!PivotTable13</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Customers</a:t>
            </a:r>
            <a:r>
              <a:rPr lang="en-US" sz="1800" b="1"/>
              <a:t>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9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98D6"/>
          </a:solidFill>
          <a:ln>
            <a:noFill/>
          </a:ln>
          <a:effectLst/>
        </c:spPr>
        <c:dLbl>
          <c:idx val="0"/>
          <c:layout>
            <c:manualLayout>
              <c:x val="-0.46670185252979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298D6"/>
          </a:solidFill>
          <a:ln>
            <a:noFill/>
          </a:ln>
          <a:effectLst/>
        </c:spPr>
        <c:dLbl>
          <c:idx val="0"/>
          <c:layout>
            <c:manualLayout>
              <c:x val="-0.33081563597857455"/>
              <c:y val="5.0068597921561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035563425928018E-2"/>
                  <c:h val="6.5014271521612294E-2"/>
                </c:manualLayout>
              </c15:layout>
            </c:ext>
          </c:extLst>
        </c:dLbl>
      </c:pivotFmt>
      <c:pivotFmt>
        <c:idx val="4"/>
        <c:spPr>
          <a:solidFill>
            <a:srgbClr val="3298D6"/>
          </a:solidFill>
          <a:ln>
            <a:noFill/>
          </a:ln>
          <a:effectLst/>
        </c:spPr>
        <c:dLbl>
          <c:idx val="0"/>
          <c:layout>
            <c:manualLayout>
              <c:x val="-0.31531267649077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298D6"/>
          </a:solidFill>
          <a:ln>
            <a:noFill/>
          </a:ln>
          <a:effectLst/>
        </c:spPr>
        <c:dLbl>
          <c:idx val="0"/>
          <c:layout>
            <c:manualLayout>
              <c:x val="-0.31315549325354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98D6"/>
          </a:solidFill>
          <a:ln>
            <a:noFill/>
          </a:ln>
          <a:effectLst/>
        </c:spPr>
        <c:dLbl>
          <c:idx val="0"/>
          <c:layout>
            <c:manualLayout>
              <c:x val="-0.2805467355931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12001108823397"/>
          <c:y val="0.15644471587925329"/>
          <c:w val="0.79100583401929436"/>
          <c:h val="0.79435185488475235"/>
        </c:manualLayout>
      </c:layout>
      <c:barChart>
        <c:barDir val="bar"/>
        <c:grouping val="clustered"/>
        <c:varyColors val="0"/>
        <c:ser>
          <c:idx val="0"/>
          <c:order val="0"/>
          <c:tx>
            <c:strRef>
              <c:f>Pivot!$S$15</c:f>
              <c:strCache>
                <c:ptCount val="1"/>
                <c:pt idx="0">
                  <c:v>Total</c:v>
                </c:pt>
              </c:strCache>
            </c:strRef>
          </c:tx>
          <c:spPr>
            <a:solidFill>
              <a:srgbClr val="3298D6"/>
            </a:solidFill>
            <a:ln>
              <a:noFill/>
            </a:ln>
            <a:effectLst/>
          </c:spPr>
          <c:invertIfNegative val="0"/>
          <c:dPt>
            <c:idx val="0"/>
            <c:invertIfNegative val="0"/>
            <c:bubble3D val="0"/>
            <c:extLst>
              <c:ext xmlns:c16="http://schemas.microsoft.com/office/drawing/2014/chart" uri="{C3380CC4-5D6E-409C-BE32-E72D297353CC}">
                <c16:uniqueId val="{00000005-73A1-4E6B-9EB7-355A5C1807FD}"/>
              </c:ext>
            </c:extLst>
          </c:dPt>
          <c:dPt>
            <c:idx val="1"/>
            <c:invertIfNegative val="0"/>
            <c:bubble3D val="0"/>
            <c:extLst>
              <c:ext xmlns:c16="http://schemas.microsoft.com/office/drawing/2014/chart" uri="{C3380CC4-5D6E-409C-BE32-E72D297353CC}">
                <c16:uniqueId val="{00000004-73A1-4E6B-9EB7-355A5C1807FD}"/>
              </c:ext>
            </c:extLst>
          </c:dPt>
          <c:dPt>
            <c:idx val="2"/>
            <c:invertIfNegative val="0"/>
            <c:bubble3D val="0"/>
            <c:extLst>
              <c:ext xmlns:c16="http://schemas.microsoft.com/office/drawing/2014/chart" uri="{C3380CC4-5D6E-409C-BE32-E72D297353CC}">
                <c16:uniqueId val="{00000003-73A1-4E6B-9EB7-355A5C1807FD}"/>
              </c:ext>
            </c:extLst>
          </c:dPt>
          <c:dPt>
            <c:idx val="3"/>
            <c:invertIfNegative val="0"/>
            <c:bubble3D val="0"/>
            <c:extLst>
              <c:ext xmlns:c16="http://schemas.microsoft.com/office/drawing/2014/chart" uri="{C3380CC4-5D6E-409C-BE32-E72D297353CC}">
                <c16:uniqueId val="{00000002-73A1-4E6B-9EB7-355A5C1807FD}"/>
              </c:ext>
            </c:extLst>
          </c:dPt>
          <c:dPt>
            <c:idx val="4"/>
            <c:invertIfNegative val="0"/>
            <c:bubble3D val="0"/>
            <c:extLst>
              <c:ext xmlns:c16="http://schemas.microsoft.com/office/drawing/2014/chart" uri="{C3380CC4-5D6E-409C-BE32-E72D297353CC}">
                <c16:uniqueId val="{00000001-73A1-4E6B-9EB7-355A5C1807FD}"/>
              </c:ext>
            </c:extLst>
          </c:dPt>
          <c:dLbls>
            <c:dLbl>
              <c:idx val="0"/>
              <c:layout>
                <c:manualLayout>
                  <c:x val="-0.2805467355931889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A1-4E6B-9EB7-355A5C1807FD}"/>
                </c:ext>
              </c:extLst>
            </c:dLbl>
            <c:dLbl>
              <c:idx val="1"/>
              <c:layout>
                <c:manualLayout>
                  <c:x val="-0.3131554932535402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1-4E6B-9EB7-355A5C1807FD}"/>
                </c:ext>
              </c:extLst>
            </c:dLbl>
            <c:dLbl>
              <c:idx val="2"/>
              <c:layout>
                <c:manualLayout>
                  <c:x val="-0.3153126764907747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A1-4E6B-9EB7-355A5C1807FD}"/>
                </c:ext>
              </c:extLst>
            </c:dLbl>
            <c:dLbl>
              <c:idx val="3"/>
              <c:layout>
                <c:manualLayout>
                  <c:x val="-0.33081563597857455"/>
                  <c:y val="5.0068597921561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035563425928018E-2"/>
                      <c:h val="6.5014271521612294E-2"/>
                    </c:manualLayout>
                  </c15:layout>
                </c:ext>
                <c:ext xmlns:c16="http://schemas.microsoft.com/office/drawing/2014/chart" uri="{C3380CC4-5D6E-409C-BE32-E72D297353CC}">
                  <c16:uniqueId val="{00000002-73A1-4E6B-9EB7-355A5C1807FD}"/>
                </c:ext>
              </c:extLst>
            </c:dLbl>
            <c:dLbl>
              <c:idx val="4"/>
              <c:layout>
                <c:manualLayout>
                  <c:x val="-0.4667018525297920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A1-4E6B-9EB7-355A5C1807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Pivot!$R$16:$R$21</c:f>
              <c:strCache>
                <c:ptCount val="5"/>
                <c:pt idx="0">
                  <c:v>Paul Baker</c:v>
                </c:pt>
                <c:pt idx="1">
                  <c:v>Patricia Moore</c:v>
                </c:pt>
                <c:pt idx="2">
                  <c:v>Barbara Young</c:v>
                </c:pt>
                <c:pt idx="3">
                  <c:v>Edward Mitchell</c:v>
                </c:pt>
                <c:pt idx="4">
                  <c:v>Mark Carter</c:v>
                </c:pt>
              </c:strCache>
            </c:strRef>
          </c:cat>
          <c:val>
            <c:numRef>
              <c:f>Pivot!$S$16:$S$21</c:f>
              <c:numCache>
                <c:formatCode>"₹"\ #,##0</c:formatCode>
                <c:ptCount val="5"/>
                <c:pt idx="0">
                  <c:v>8309.739999999998</c:v>
                </c:pt>
                <c:pt idx="1">
                  <c:v>9799.73</c:v>
                </c:pt>
                <c:pt idx="2">
                  <c:v>10649.8</c:v>
                </c:pt>
                <c:pt idx="3">
                  <c:v>11919.769999999999</c:v>
                </c:pt>
                <c:pt idx="4">
                  <c:v>15659.65</c:v>
                </c:pt>
              </c:numCache>
            </c:numRef>
          </c:val>
          <c:extLst>
            <c:ext xmlns:c16="http://schemas.microsoft.com/office/drawing/2014/chart" uri="{C3380CC4-5D6E-409C-BE32-E72D297353CC}">
              <c16:uniqueId val="{00000000-73A1-4E6B-9EB7-355A5C1807FD}"/>
            </c:ext>
          </c:extLst>
        </c:ser>
        <c:dLbls>
          <c:dLblPos val="inBase"/>
          <c:showLegendKey val="0"/>
          <c:showVal val="1"/>
          <c:showCatName val="0"/>
          <c:showSerName val="0"/>
          <c:showPercent val="0"/>
          <c:showBubbleSize val="0"/>
        </c:dLbls>
        <c:gapWidth val="50"/>
        <c:overlap val="100"/>
        <c:axId val="696171024"/>
        <c:axId val="696172944"/>
      </c:barChart>
      <c:catAx>
        <c:axId val="69617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172944"/>
        <c:crosses val="autoZero"/>
        <c:auto val="1"/>
        <c:lblAlgn val="ctr"/>
        <c:lblOffset val="100"/>
        <c:noMultiLvlLbl val="0"/>
      </c:catAx>
      <c:valAx>
        <c:axId val="696172944"/>
        <c:scaling>
          <c:orientation val="minMax"/>
        </c:scaling>
        <c:delete val="1"/>
        <c:axPos val="b"/>
        <c:numFmt formatCode="&quot;₹&quot;\ #,##0" sourceLinked="1"/>
        <c:majorTickMark val="none"/>
        <c:minorTickMark val="none"/>
        <c:tickLblPos val="nextTo"/>
        <c:crossAx val="69617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[Excel_final_Project.xlsx]Pivot!PivotTable14</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Sales</a:t>
            </a:r>
            <a:r>
              <a:rPr lang="en-US" sz="1800" b="1" baseline="0"/>
              <a:t> By Month</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7797261518228633E-17"/>
              <c:y val="-0.331270618454026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8671616676499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3559452303645727E-16"/>
              <c:y val="-0.15057755384273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6980751664352214E-3"/>
              <c:y val="-0.27706269907064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3559452303645727E-16"/>
              <c:y val="-0.25297029045580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7797261518228633E-17"/>
              <c:y val="-0.16262375815015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490375832176107E-3"/>
              <c:y val="-0.18069306461128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3853134953532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3898630759114316E-17"/>
              <c:y val="-0.1867161667649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3898630759114316E-17"/>
              <c:y val="-0.30717820983918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5471127496528319E-3"/>
              <c:y val="-0.28910890337805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2373288448892895E-18"/>
              <c:y val="-0.27706269907064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3941341539372E-2"/>
          <c:y val="0.18054272418745032"/>
          <c:w val="0.95932117316921262"/>
          <c:h val="0.67973173956675403"/>
        </c:manualLayout>
      </c:layout>
      <c:barChart>
        <c:barDir val="col"/>
        <c:grouping val="stacked"/>
        <c:varyColors val="0"/>
        <c:ser>
          <c:idx val="0"/>
          <c:order val="0"/>
          <c:tx>
            <c:strRef>
              <c:f>Pivot!$V$4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B1C1-48BD-9728-0783BE60F1B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B-B1C1-48BD-9728-0783BE60F1B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A-B1C1-48BD-9728-0783BE60F1B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9-B1C1-48BD-9728-0783BE60F1B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B1C1-48BD-9728-0783BE60F1B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B1C1-48BD-9728-0783BE60F1B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B1C1-48BD-9728-0783BE60F1B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1-B1C1-48BD-9728-0783BE60F1B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2-B1C1-48BD-9728-0783BE60F1B4}"/>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3-B1C1-48BD-9728-0783BE60F1B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4-B1C1-48BD-9728-0783BE60F1B4}"/>
              </c:ext>
            </c:extLst>
          </c:dPt>
          <c:dLbls>
            <c:dLbl>
              <c:idx val="0"/>
              <c:layout>
                <c:manualLayout>
                  <c:x val="-4.2373288448892895E-18"/>
                  <c:y val="-0.27706269907064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1C1-48BD-9728-0783BE60F1B4}"/>
                </c:ext>
              </c:extLst>
            </c:dLbl>
            <c:dLbl>
              <c:idx val="1"/>
              <c:layout>
                <c:manualLayout>
                  <c:x val="-5.5471127496528319E-3"/>
                  <c:y val="-0.289108903378059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1C1-48BD-9728-0783BE60F1B4}"/>
                </c:ext>
              </c:extLst>
            </c:dLbl>
            <c:dLbl>
              <c:idx val="2"/>
              <c:layout>
                <c:manualLayout>
                  <c:x val="-3.3898630759114316E-17"/>
                  <c:y val="-0.307178209839187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1C1-48BD-9728-0783BE60F1B4}"/>
                </c:ext>
              </c:extLst>
            </c:dLbl>
            <c:dLbl>
              <c:idx val="3"/>
              <c:layout>
                <c:manualLayout>
                  <c:x val="-3.3898630759114316E-17"/>
                  <c:y val="-0.186716166764996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1C1-48BD-9728-0783BE60F1B4}"/>
                </c:ext>
              </c:extLst>
            </c:dLbl>
            <c:dLbl>
              <c:idx val="4"/>
              <c:layout>
                <c:manualLayout>
                  <c:x val="0"/>
                  <c:y val="-0.138531349535320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1C1-48BD-9728-0783BE60F1B4}"/>
                </c:ext>
              </c:extLst>
            </c:dLbl>
            <c:dLbl>
              <c:idx val="5"/>
              <c:layout>
                <c:manualLayout>
                  <c:x val="1.8490375832176107E-3"/>
                  <c:y val="-0.180693064611287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C1-48BD-9728-0783BE60F1B4}"/>
                </c:ext>
              </c:extLst>
            </c:dLbl>
            <c:dLbl>
              <c:idx val="6"/>
              <c:layout>
                <c:manualLayout>
                  <c:x val="-6.7797261518228633E-17"/>
                  <c:y val="-0.162623758150158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C1-48BD-9728-0783BE60F1B4}"/>
                </c:ext>
              </c:extLst>
            </c:dLbl>
            <c:dLbl>
              <c:idx val="7"/>
              <c:layout>
                <c:manualLayout>
                  <c:x val="6.7797261518228633E-17"/>
                  <c:y val="-0.331270618454026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C1-48BD-9728-0783BE60F1B4}"/>
                </c:ext>
              </c:extLst>
            </c:dLbl>
            <c:dLbl>
              <c:idx val="8"/>
              <c:layout>
                <c:manualLayout>
                  <c:x val="0"/>
                  <c:y val="-0.18671616676499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C1-48BD-9728-0783BE60F1B4}"/>
                </c:ext>
              </c:extLst>
            </c:dLbl>
            <c:dLbl>
              <c:idx val="9"/>
              <c:layout>
                <c:manualLayout>
                  <c:x val="-3.6980751664352214E-3"/>
                  <c:y val="-0.27706269907064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C1-48BD-9728-0783BE60F1B4}"/>
                </c:ext>
              </c:extLst>
            </c:dLbl>
            <c:dLbl>
              <c:idx val="10"/>
              <c:layout>
                <c:manualLayout>
                  <c:x val="-1.3559452303645727E-16"/>
                  <c:y val="-0.252970290455801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C1-48BD-9728-0783BE60F1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Pivot!$U$5:$U$16</c:f>
              <c:strCache>
                <c:ptCount val="11"/>
                <c:pt idx="0">
                  <c:v>1</c:v>
                </c:pt>
                <c:pt idx="1">
                  <c:v>2</c:v>
                </c:pt>
                <c:pt idx="2">
                  <c:v>3</c:v>
                </c:pt>
                <c:pt idx="3">
                  <c:v>4</c:v>
                </c:pt>
                <c:pt idx="4">
                  <c:v>5</c:v>
                </c:pt>
                <c:pt idx="5">
                  <c:v>6</c:v>
                </c:pt>
                <c:pt idx="6">
                  <c:v>7</c:v>
                </c:pt>
                <c:pt idx="7">
                  <c:v>8</c:v>
                </c:pt>
                <c:pt idx="8">
                  <c:v>9</c:v>
                </c:pt>
                <c:pt idx="9">
                  <c:v>11</c:v>
                </c:pt>
                <c:pt idx="10">
                  <c:v>12</c:v>
                </c:pt>
              </c:strCache>
            </c:strRef>
          </c:cat>
          <c:val>
            <c:numRef>
              <c:f>Pivot!$V$5:$V$16</c:f>
              <c:numCache>
                <c:formatCode>"₹"\ #,##0</c:formatCode>
                <c:ptCount val="11"/>
                <c:pt idx="0">
                  <c:v>8759.6999999999989</c:v>
                </c:pt>
                <c:pt idx="1">
                  <c:v>9359.84</c:v>
                </c:pt>
                <c:pt idx="2">
                  <c:v>8179.8799999999992</c:v>
                </c:pt>
                <c:pt idx="3">
                  <c:v>2399.94</c:v>
                </c:pt>
                <c:pt idx="4">
                  <c:v>7549.8099999999995</c:v>
                </c:pt>
                <c:pt idx="5">
                  <c:v>3599.96</c:v>
                </c:pt>
                <c:pt idx="6">
                  <c:v>2839.9300000000003</c:v>
                </c:pt>
                <c:pt idx="7">
                  <c:v>2919.8999999999996</c:v>
                </c:pt>
                <c:pt idx="8">
                  <c:v>1599.9</c:v>
                </c:pt>
                <c:pt idx="9">
                  <c:v>6869.82</c:v>
                </c:pt>
                <c:pt idx="10">
                  <c:v>9299.7699999999986</c:v>
                </c:pt>
              </c:numCache>
            </c:numRef>
          </c:val>
          <c:extLst>
            <c:ext xmlns:c16="http://schemas.microsoft.com/office/drawing/2014/chart" uri="{C3380CC4-5D6E-409C-BE32-E72D297353CC}">
              <c16:uniqueId val="{00000000-B1C1-48BD-9728-0783BE60F1B4}"/>
            </c:ext>
          </c:extLst>
        </c:ser>
        <c:dLbls>
          <c:dLblPos val="ctr"/>
          <c:showLegendKey val="0"/>
          <c:showVal val="1"/>
          <c:showCatName val="0"/>
          <c:showSerName val="0"/>
          <c:showPercent val="0"/>
          <c:showBubbleSize val="0"/>
        </c:dLbls>
        <c:gapWidth val="150"/>
        <c:overlap val="100"/>
        <c:axId val="606629152"/>
        <c:axId val="606629632"/>
      </c:barChart>
      <c:catAx>
        <c:axId val="60662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29632"/>
        <c:crosses val="autoZero"/>
        <c:auto val="1"/>
        <c:lblAlgn val="ctr"/>
        <c:lblOffset val="100"/>
        <c:noMultiLvlLbl val="0"/>
      </c:catAx>
      <c:valAx>
        <c:axId val="606629632"/>
        <c:scaling>
          <c:orientation val="minMax"/>
        </c:scaling>
        <c:delete val="1"/>
        <c:axPos val="l"/>
        <c:numFmt formatCode="&quot;₹&quot;\ #,##0" sourceLinked="1"/>
        <c:majorTickMark val="none"/>
        <c:minorTickMark val="none"/>
        <c:tickLblPos val="nextTo"/>
        <c:crossAx val="60662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Product</cx:v>
        </cx:txData>
      </cx:tx>
      <cx:txPr>
        <a:bodyPr spcFirstLastPara="1" vertOverflow="ellipsis" horzOverflow="overflow" wrap="square" lIns="0" tIns="0" rIns="0" bIns="0" anchor="ctr" anchorCtr="1"/>
        <a:lstStyle/>
        <a:p>
          <a:pPr algn="ctr" rtl="0">
            <a:defRPr b="1"/>
          </a:pPr>
          <a:r>
            <a:rPr lang="en-US" sz="1800" b="1" i="0" u="none" strike="noStrike" baseline="0">
              <a:solidFill>
                <a:sysClr val="windowText" lastClr="000000">
                  <a:lumMod val="65000"/>
                  <a:lumOff val="35000"/>
                </a:sysClr>
              </a:solidFill>
              <a:latin typeface="Calibri" panose="020F0502020204030204"/>
            </a:rPr>
            <a:t>Sales By Product</a:t>
          </a:r>
        </a:p>
      </cx:txPr>
    </cx:title>
    <cx:plotArea>
      <cx:plotAreaRegion>
        <cx:plotSurface>
          <cx:spPr>
            <a:noFill/>
            <a:ln>
              <a:noFill/>
            </a:ln>
          </cx:spPr>
        </cx:plotSurface>
        <cx:series layoutId="funnel" uniqueId="{C5205A57-2796-4954-9EFA-2B99380A80CF}">
          <cx:tx>
            <cx:txData>
              <cx:f>_xlchart.v2.1</cx:f>
              <cx:v>Sales</cx:v>
            </cx:txData>
          </cx:tx>
          <cx:spPr>
            <a:solidFill>
              <a:srgbClr val="3298D6"/>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32736</xdr:colOff>
      <xdr:row>1</xdr:row>
      <xdr:rowOff>67725</xdr:rowOff>
    </xdr:from>
    <xdr:to>
      <xdr:col>25</xdr:col>
      <xdr:colOff>412351</xdr:colOff>
      <xdr:row>49</xdr:row>
      <xdr:rowOff>179454</xdr:rowOff>
    </xdr:to>
    <xdr:sp macro="" textlink="">
      <xdr:nvSpPr>
        <xdr:cNvPr id="2" name="Rectangle: Rounded Corners 1">
          <a:extLst>
            <a:ext uri="{FF2B5EF4-FFF2-40B4-BE49-F238E27FC236}">
              <a16:creationId xmlns:a16="http://schemas.microsoft.com/office/drawing/2014/main" id="{1811EF74-C5DE-4B12-EE45-E517E9FEA03A}"/>
            </a:ext>
          </a:extLst>
        </xdr:cNvPr>
        <xdr:cNvSpPr/>
      </xdr:nvSpPr>
      <xdr:spPr>
        <a:xfrm>
          <a:off x="637081" y="251656"/>
          <a:ext cx="14883891" cy="8940419"/>
        </a:xfrm>
        <a:custGeom>
          <a:avLst/>
          <a:gdLst>
            <a:gd name="csX0" fmla="*/ 0 w 12617527"/>
            <a:gd name="csY0" fmla="*/ 1185150 h 7110757"/>
            <a:gd name="csX1" fmla="*/ 1185150 w 12617527"/>
            <a:gd name="csY1" fmla="*/ 0 h 7110757"/>
            <a:gd name="csX2" fmla="*/ 11432377 w 12617527"/>
            <a:gd name="csY2" fmla="*/ 0 h 7110757"/>
            <a:gd name="csX3" fmla="*/ 12617527 w 12617527"/>
            <a:gd name="csY3" fmla="*/ 1185150 h 7110757"/>
            <a:gd name="csX4" fmla="*/ 12617527 w 12617527"/>
            <a:gd name="csY4" fmla="*/ 5925607 h 7110757"/>
            <a:gd name="csX5" fmla="*/ 11432377 w 12617527"/>
            <a:gd name="csY5" fmla="*/ 7110757 h 7110757"/>
            <a:gd name="csX6" fmla="*/ 1185150 w 12617527"/>
            <a:gd name="csY6" fmla="*/ 7110757 h 7110757"/>
            <a:gd name="csX7" fmla="*/ 0 w 12617527"/>
            <a:gd name="csY7" fmla="*/ 5925607 h 7110757"/>
            <a:gd name="csX8" fmla="*/ 0 w 12617527"/>
            <a:gd name="csY8" fmla="*/ 1185150 h 7110757"/>
            <a:gd name="csX0" fmla="*/ 0 w 12666165"/>
            <a:gd name="csY0" fmla="*/ 1185150 h 7110757"/>
            <a:gd name="csX1" fmla="*/ 1185150 w 12666165"/>
            <a:gd name="csY1" fmla="*/ 0 h 7110757"/>
            <a:gd name="csX2" fmla="*/ 11432377 w 12666165"/>
            <a:gd name="csY2" fmla="*/ 0 h 7110757"/>
            <a:gd name="csX3" fmla="*/ 12617527 w 12666165"/>
            <a:gd name="csY3" fmla="*/ 1185150 h 7110757"/>
            <a:gd name="csX4" fmla="*/ 12666165 w 12666165"/>
            <a:gd name="csY4" fmla="*/ 6411990 h 7110757"/>
            <a:gd name="csX5" fmla="*/ 11432377 w 12666165"/>
            <a:gd name="csY5" fmla="*/ 7110757 h 7110757"/>
            <a:gd name="csX6" fmla="*/ 1185150 w 12666165"/>
            <a:gd name="csY6" fmla="*/ 7110757 h 7110757"/>
            <a:gd name="csX7" fmla="*/ 0 w 12666165"/>
            <a:gd name="csY7" fmla="*/ 5925607 h 7110757"/>
            <a:gd name="csX8" fmla="*/ 0 w 12666165"/>
            <a:gd name="csY8" fmla="*/ 1185150 h 7110757"/>
            <a:gd name="csX0" fmla="*/ 0 w 12666165"/>
            <a:gd name="csY0" fmla="*/ 1185150 h 7110757"/>
            <a:gd name="csX1" fmla="*/ 1185150 w 12666165"/>
            <a:gd name="csY1" fmla="*/ 0 h 7110757"/>
            <a:gd name="csX2" fmla="*/ 11432377 w 12666165"/>
            <a:gd name="csY2" fmla="*/ 0 h 7110757"/>
            <a:gd name="csX3" fmla="*/ 12551266 w 12666165"/>
            <a:gd name="csY3" fmla="*/ 155480 h 7110757"/>
            <a:gd name="csX4" fmla="*/ 12617527 w 12666165"/>
            <a:gd name="csY4" fmla="*/ 1185150 h 7110757"/>
            <a:gd name="csX5" fmla="*/ 12666165 w 12666165"/>
            <a:gd name="csY5" fmla="*/ 6411990 h 7110757"/>
            <a:gd name="csX6" fmla="*/ 11432377 w 12666165"/>
            <a:gd name="csY6" fmla="*/ 7110757 h 7110757"/>
            <a:gd name="csX7" fmla="*/ 1185150 w 12666165"/>
            <a:gd name="csY7" fmla="*/ 7110757 h 7110757"/>
            <a:gd name="csX8" fmla="*/ 0 w 12666165"/>
            <a:gd name="csY8" fmla="*/ 5925607 h 7110757"/>
            <a:gd name="csX9" fmla="*/ 0 w 12666165"/>
            <a:gd name="csY9" fmla="*/ 1185150 h 7110757"/>
            <a:gd name="csX0" fmla="*/ 0 w 12727874"/>
            <a:gd name="csY0" fmla="*/ 1185150 h 7110757"/>
            <a:gd name="csX1" fmla="*/ 1185150 w 12727874"/>
            <a:gd name="csY1" fmla="*/ 0 h 7110757"/>
            <a:gd name="csX2" fmla="*/ 11432377 w 12727874"/>
            <a:gd name="csY2" fmla="*/ 0 h 7110757"/>
            <a:gd name="csX3" fmla="*/ 12551266 w 12727874"/>
            <a:gd name="csY3" fmla="*/ 155480 h 7110757"/>
            <a:gd name="csX4" fmla="*/ 12617527 w 12727874"/>
            <a:gd name="csY4" fmla="*/ 1185150 h 7110757"/>
            <a:gd name="csX5" fmla="*/ 12666165 w 12727874"/>
            <a:gd name="csY5" fmla="*/ 6411990 h 7110757"/>
            <a:gd name="csX6" fmla="*/ 12632330 w 12727874"/>
            <a:gd name="csY6" fmla="*/ 7045906 h 7110757"/>
            <a:gd name="csX7" fmla="*/ 11432377 w 12727874"/>
            <a:gd name="csY7" fmla="*/ 7110757 h 7110757"/>
            <a:gd name="csX8" fmla="*/ 1185150 w 12727874"/>
            <a:gd name="csY8" fmla="*/ 7110757 h 7110757"/>
            <a:gd name="csX9" fmla="*/ 0 w 12727874"/>
            <a:gd name="csY9" fmla="*/ 5925607 h 7110757"/>
            <a:gd name="csX10" fmla="*/ 0 w 12727874"/>
            <a:gd name="csY10" fmla="*/ 1185150 h 7110757"/>
            <a:gd name="csX0" fmla="*/ 3534 w 12731408"/>
            <a:gd name="csY0" fmla="*/ 1256851 h 7182458"/>
            <a:gd name="csX1" fmla="*/ 103395 w 12731408"/>
            <a:gd name="csY1" fmla="*/ 81266 h 7182458"/>
            <a:gd name="csX2" fmla="*/ 1188684 w 12731408"/>
            <a:gd name="csY2" fmla="*/ 71701 h 7182458"/>
            <a:gd name="csX3" fmla="*/ 11435911 w 12731408"/>
            <a:gd name="csY3" fmla="*/ 71701 h 7182458"/>
            <a:gd name="csX4" fmla="*/ 12554800 w 12731408"/>
            <a:gd name="csY4" fmla="*/ 227181 h 7182458"/>
            <a:gd name="csX5" fmla="*/ 12621061 w 12731408"/>
            <a:gd name="csY5" fmla="*/ 1256851 h 7182458"/>
            <a:gd name="csX6" fmla="*/ 12669699 w 12731408"/>
            <a:gd name="csY6" fmla="*/ 6483691 h 7182458"/>
            <a:gd name="csX7" fmla="*/ 12635864 w 12731408"/>
            <a:gd name="csY7" fmla="*/ 7117607 h 7182458"/>
            <a:gd name="csX8" fmla="*/ 11435911 w 12731408"/>
            <a:gd name="csY8" fmla="*/ 7182458 h 7182458"/>
            <a:gd name="csX9" fmla="*/ 1188684 w 12731408"/>
            <a:gd name="csY9" fmla="*/ 7182458 h 7182458"/>
            <a:gd name="csX10" fmla="*/ 3534 w 12731408"/>
            <a:gd name="csY10" fmla="*/ 5997308 h 7182458"/>
            <a:gd name="csX11" fmla="*/ 3534 w 12731408"/>
            <a:gd name="csY11" fmla="*/ 1256851 h 7182458"/>
            <a:gd name="csX0" fmla="*/ 3534 w 12731408"/>
            <a:gd name="csY0" fmla="*/ 1256851 h 7269814"/>
            <a:gd name="csX1" fmla="*/ 103395 w 12731408"/>
            <a:gd name="csY1" fmla="*/ 81266 h 7269814"/>
            <a:gd name="csX2" fmla="*/ 1188684 w 12731408"/>
            <a:gd name="csY2" fmla="*/ 71701 h 7269814"/>
            <a:gd name="csX3" fmla="*/ 11435911 w 12731408"/>
            <a:gd name="csY3" fmla="*/ 71701 h 7269814"/>
            <a:gd name="csX4" fmla="*/ 12554800 w 12731408"/>
            <a:gd name="csY4" fmla="*/ 227181 h 7269814"/>
            <a:gd name="csX5" fmla="*/ 12621061 w 12731408"/>
            <a:gd name="csY5" fmla="*/ 1256851 h 7269814"/>
            <a:gd name="csX6" fmla="*/ 12669699 w 12731408"/>
            <a:gd name="csY6" fmla="*/ 6483691 h 7269814"/>
            <a:gd name="csX7" fmla="*/ 12635864 w 12731408"/>
            <a:gd name="csY7" fmla="*/ 7117607 h 7269814"/>
            <a:gd name="csX8" fmla="*/ 11435911 w 12731408"/>
            <a:gd name="csY8" fmla="*/ 7182458 h 7269814"/>
            <a:gd name="csX9" fmla="*/ 1188684 w 12731408"/>
            <a:gd name="csY9" fmla="*/ 7182458 h 7269814"/>
            <a:gd name="csX10" fmla="*/ 184458 w 12731408"/>
            <a:gd name="csY10" fmla="*/ 7198670 h 7269814"/>
            <a:gd name="csX11" fmla="*/ 3534 w 12731408"/>
            <a:gd name="csY11" fmla="*/ 5997308 h 7269814"/>
            <a:gd name="csX12" fmla="*/ 3534 w 12731408"/>
            <a:gd name="csY12" fmla="*/ 1256851 h 7269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731408" h="7269814">
              <a:moveTo>
                <a:pt x="3534" y="1256851"/>
              </a:moveTo>
              <a:cubicBezTo>
                <a:pt x="63411" y="311376"/>
                <a:pt x="-94130" y="278791"/>
                <a:pt x="103395" y="81266"/>
              </a:cubicBezTo>
              <a:cubicBezTo>
                <a:pt x="300920" y="-116259"/>
                <a:pt x="-656835" y="113827"/>
                <a:pt x="1188684" y="71701"/>
              </a:cubicBezTo>
              <a:lnTo>
                <a:pt x="11435911" y="71701"/>
              </a:lnTo>
              <a:cubicBezTo>
                <a:pt x="13276221" y="124636"/>
                <a:pt x="12357275" y="29656"/>
                <a:pt x="12554800" y="227181"/>
              </a:cubicBezTo>
              <a:cubicBezTo>
                <a:pt x="12752325" y="424706"/>
                <a:pt x="12547869" y="241121"/>
                <a:pt x="12621061" y="1256851"/>
              </a:cubicBezTo>
              <a:cubicBezTo>
                <a:pt x="12621061" y="2837003"/>
                <a:pt x="12669699" y="4903539"/>
                <a:pt x="12669699" y="6483691"/>
              </a:cubicBezTo>
              <a:cubicBezTo>
                <a:pt x="12647847" y="7436164"/>
                <a:pt x="12841495" y="7001146"/>
                <a:pt x="12635864" y="7117607"/>
              </a:cubicBezTo>
              <a:cubicBezTo>
                <a:pt x="12430233" y="7234068"/>
                <a:pt x="13319455" y="7147330"/>
                <a:pt x="11435911" y="7182458"/>
              </a:cubicBezTo>
              <a:lnTo>
                <a:pt x="1188684" y="7182458"/>
              </a:lnTo>
              <a:cubicBezTo>
                <a:pt x="-675750" y="7112203"/>
                <a:pt x="381983" y="7396195"/>
                <a:pt x="184458" y="7198670"/>
              </a:cubicBezTo>
              <a:cubicBezTo>
                <a:pt x="-13067" y="7001145"/>
                <a:pt x="44497" y="6914654"/>
                <a:pt x="3534" y="5997308"/>
              </a:cubicBezTo>
              <a:lnTo>
                <a:pt x="3534" y="1256851"/>
              </a:lnTo>
              <a:close/>
            </a:path>
          </a:pathLst>
        </a:cu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3">
                <a:lumMod val="20000"/>
                <a:lumOff val="80000"/>
              </a:schemeClr>
            </a:solidFill>
          </a:endParaRPr>
        </a:p>
      </xdr:txBody>
    </xdr:sp>
    <xdr:clientData/>
  </xdr:twoCellAnchor>
  <xdr:twoCellAnchor>
    <xdr:from>
      <xdr:col>1</xdr:col>
      <xdr:colOff>206963</xdr:colOff>
      <xdr:row>2</xdr:row>
      <xdr:rowOff>86592</xdr:rowOff>
    </xdr:from>
    <xdr:to>
      <xdr:col>4</xdr:col>
      <xdr:colOff>398319</xdr:colOff>
      <xdr:row>10</xdr:row>
      <xdr:rowOff>77933</xdr:rowOff>
    </xdr:to>
    <xdr:sp macro="" textlink="">
      <xdr:nvSpPr>
        <xdr:cNvPr id="3" name="Flowchart: Alternate Process 2">
          <a:extLst>
            <a:ext uri="{FF2B5EF4-FFF2-40B4-BE49-F238E27FC236}">
              <a16:creationId xmlns:a16="http://schemas.microsoft.com/office/drawing/2014/main" id="{6C5D4F26-159D-BED3-5B13-04B41BCA64D4}"/>
            </a:ext>
          </a:extLst>
        </xdr:cNvPr>
        <xdr:cNvSpPr/>
      </xdr:nvSpPr>
      <xdr:spPr>
        <a:xfrm>
          <a:off x="813099" y="450274"/>
          <a:ext cx="2009765" cy="1446068"/>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501820</xdr:colOff>
      <xdr:row>2</xdr:row>
      <xdr:rowOff>51956</xdr:rowOff>
    </xdr:from>
    <xdr:to>
      <xdr:col>24</xdr:col>
      <xdr:colOff>450271</xdr:colOff>
      <xdr:row>10</xdr:row>
      <xdr:rowOff>101843</xdr:rowOff>
    </xdr:to>
    <xdr:sp macro="" textlink="">
      <xdr:nvSpPr>
        <xdr:cNvPr id="4" name="Flowchart: Alternate Process 3">
          <a:extLst>
            <a:ext uri="{FF2B5EF4-FFF2-40B4-BE49-F238E27FC236}">
              <a16:creationId xmlns:a16="http://schemas.microsoft.com/office/drawing/2014/main" id="{DAFE8492-3B56-4038-9C8C-10B48126A94F}"/>
            </a:ext>
          </a:extLst>
        </xdr:cNvPr>
        <xdr:cNvSpPr/>
      </xdr:nvSpPr>
      <xdr:spPr>
        <a:xfrm>
          <a:off x="2926365" y="415638"/>
          <a:ext cx="12071179" cy="1504614"/>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198751</xdr:colOff>
      <xdr:row>10</xdr:row>
      <xdr:rowOff>163950</xdr:rowOff>
    </xdr:from>
    <xdr:to>
      <xdr:col>4</xdr:col>
      <xdr:colOff>390107</xdr:colOff>
      <xdr:row>48</xdr:row>
      <xdr:rowOff>95248</xdr:rowOff>
    </xdr:to>
    <xdr:sp macro="" textlink="">
      <xdr:nvSpPr>
        <xdr:cNvPr id="5" name="Flowchart: Alternate Process 4">
          <a:extLst>
            <a:ext uri="{FF2B5EF4-FFF2-40B4-BE49-F238E27FC236}">
              <a16:creationId xmlns:a16="http://schemas.microsoft.com/office/drawing/2014/main" id="{21E08FB3-E8C7-451C-84AE-85FFD6ED3840}"/>
            </a:ext>
          </a:extLst>
        </xdr:cNvPr>
        <xdr:cNvSpPr/>
      </xdr:nvSpPr>
      <xdr:spPr>
        <a:xfrm>
          <a:off x="804887" y="1982359"/>
          <a:ext cx="2009765" cy="6841253"/>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501818</xdr:colOff>
      <xdr:row>11</xdr:row>
      <xdr:rowOff>86591</xdr:rowOff>
    </xdr:from>
    <xdr:to>
      <xdr:col>9</xdr:col>
      <xdr:colOff>8657</xdr:colOff>
      <xdr:row>19</xdr:row>
      <xdr:rowOff>27410</xdr:rowOff>
    </xdr:to>
    <xdr:sp macro="" textlink="">
      <xdr:nvSpPr>
        <xdr:cNvPr id="6" name="Flowchart: Alternate Process 5">
          <a:extLst>
            <a:ext uri="{FF2B5EF4-FFF2-40B4-BE49-F238E27FC236}">
              <a16:creationId xmlns:a16="http://schemas.microsoft.com/office/drawing/2014/main" id="{9B1E51CB-16BF-473D-96BE-B5EFCCFBF1D6}"/>
            </a:ext>
          </a:extLst>
        </xdr:cNvPr>
        <xdr:cNvSpPr/>
      </xdr:nvSpPr>
      <xdr:spPr>
        <a:xfrm>
          <a:off x="2926363" y="2086841"/>
          <a:ext cx="2537521" cy="1395546"/>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100"/>
            <a:t>                        </a:t>
          </a:r>
          <a:r>
            <a:rPr lang="en-IN" sz="2000" b="1">
              <a:solidFill>
                <a:schemeClr val="tx1"/>
              </a:solidFill>
            </a:rPr>
            <a:t>Total</a:t>
          </a:r>
          <a:r>
            <a:rPr lang="en-IN" sz="2000" b="1" baseline="0">
              <a:solidFill>
                <a:schemeClr val="tx1"/>
              </a:solidFill>
            </a:rPr>
            <a:t> Sales</a:t>
          </a:r>
          <a:endParaRPr lang="en-IN" sz="2000" b="1">
            <a:solidFill>
              <a:schemeClr val="tx1"/>
            </a:solidFill>
          </a:endParaRPr>
        </a:p>
      </xdr:txBody>
    </xdr:sp>
    <xdr:clientData/>
  </xdr:twoCellAnchor>
  <xdr:twoCellAnchor>
    <xdr:from>
      <xdr:col>9</xdr:col>
      <xdr:colOff>103501</xdr:colOff>
      <xdr:row>11</xdr:row>
      <xdr:rowOff>77932</xdr:rowOff>
    </xdr:from>
    <xdr:to>
      <xdr:col>13</xdr:col>
      <xdr:colOff>285749</xdr:colOff>
      <xdr:row>19</xdr:row>
      <xdr:rowOff>34638</xdr:rowOff>
    </xdr:to>
    <xdr:sp macro="" textlink="">
      <xdr:nvSpPr>
        <xdr:cNvPr id="7" name="Flowchart: Alternate Process 6">
          <a:extLst>
            <a:ext uri="{FF2B5EF4-FFF2-40B4-BE49-F238E27FC236}">
              <a16:creationId xmlns:a16="http://schemas.microsoft.com/office/drawing/2014/main" id="{F3162534-DC10-4145-93EA-5964110B0D39}"/>
            </a:ext>
          </a:extLst>
        </xdr:cNvPr>
        <xdr:cNvSpPr/>
      </xdr:nvSpPr>
      <xdr:spPr>
        <a:xfrm>
          <a:off x="5558728" y="2078182"/>
          <a:ext cx="2606794" cy="1411433"/>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510481</xdr:colOff>
      <xdr:row>19</xdr:row>
      <xdr:rowOff>132817</xdr:rowOff>
    </xdr:from>
    <xdr:to>
      <xdr:col>13</xdr:col>
      <xdr:colOff>259772</xdr:colOff>
      <xdr:row>34</xdr:row>
      <xdr:rowOff>69273</xdr:rowOff>
    </xdr:to>
    <xdr:sp macro="" textlink="">
      <xdr:nvSpPr>
        <xdr:cNvPr id="8" name="Flowchart: Alternate Process 7">
          <a:extLst>
            <a:ext uri="{FF2B5EF4-FFF2-40B4-BE49-F238E27FC236}">
              <a16:creationId xmlns:a16="http://schemas.microsoft.com/office/drawing/2014/main" id="{41A628DE-3C8B-4D99-9E0A-A4B927CB79D2}"/>
            </a:ext>
          </a:extLst>
        </xdr:cNvPr>
        <xdr:cNvSpPr/>
      </xdr:nvSpPr>
      <xdr:spPr>
        <a:xfrm>
          <a:off x="2935026" y="3587794"/>
          <a:ext cx="5204519" cy="2664070"/>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527798</xdr:colOff>
      <xdr:row>34</xdr:row>
      <xdr:rowOff>164524</xdr:rowOff>
    </xdr:from>
    <xdr:to>
      <xdr:col>13</xdr:col>
      <xdr:colOff>294409</xdr:colOff>
      <xdr:row>49</xdr:row>
      <xdr:rowOff>8660</xdr:rowOff>
    </xdr:to>
    <xdr:sp macro="" textlink="">
      <xdr:nvSpPr>
        <xdr:cNvPr id="9" name="Flowchart: Alternate Process 8">
          <a:extLst>
            <a:ext uri="{FF2B5EF4-FFF2-40B4-BE49-F238E27FC236}">
              <a16:creationId xmlns:a16="http://schemas.microsoft.com/office/drawing/2014/main" id="{F693D3D4-41B2-420E-B727-4E54E04012DE}"/>
            </a:ext>
          </a:extLst>
        </xdr:cNvPr>
        <xdr:cNvSpPr/>
      </xdr:nvSpPr>
      <xdr:spPr>
        <a:xfrm>
          <a:off x="2952343" y="6347115"/>
          <a:ext cx="5221839" cy="2571750"/>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361950</xdr:colOff>
      <xdr:row>10</xdr:row>
      <xdr:rowOff>158793</xdr:rowOff>
    </xdr:from>
    <xdr:to>
      <xdr:col>19</xdr:col>
      <xdr:colOff>207818</xdr:colOff>
      <xdr:row>36</xdr:row>
      <xdr:rowOff>104775</xdr:rowOff>
    </xdr:to>
    <xdr:sp macro="" textlink="">
      <xdr:nvSpPr>
        <xdr:cNvPr id="10" name="Flowchart: Alternate Process 9">
          <a:extLst>
            <a:ext uri="{FF2B5EF4-FFF2-40B4-BE49-F238E27FC236}">
              <a16:creationId xmlns:a16="http://schemas.microsoft.com/office/drawing/2014/main" id="{8412F5A9-B5F2-43FE-A3E8-2EA5A29F28F7}"/>
            </a:ext>
          </a:extLst>
        </xdr:cNvPr>
        <xdr:cNvSpPr/>
      </xdr:nvSpPr>
      <xdr:spPr>
        <a:xfrm>
          <a:off x="8286750" y="1968543"/>
          <a:ext cx="3503468" cy="4651332"/>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415230</xdr:colOff>
      <xdr:row>37</xdr:row>
      <xdr:rowOff>20249</xdr:rowOff>
    </xdr:from>
    <xdr:to>
      <xdr:col>25</xdr:col>
      <xdr:colOff>112568</xdr:colOff>
      <xdr:row>49</xdr:row>
      <xdr:rowOff>8660</xdr:rowOff>
    </xdr:to>
    <xdr:sp macro="" textlink="">
      <xdr:nvSpPr>
        <xdr:cNvPr id="11" name="Flowchart: Alternate Process 10">
          <a:extLst>
            <a:ext uri="{FF2B5EF4-FFF2-40B4-BE49-F238E27FC236}">
              <a16:creationId xmlns:a16="http://schemas.microsoft.com/office/drawing/2014/main" id="{E23E69E1-1A52-418B-A2DC-42CE1664EB3F}"/>
            </a:ext>
          </a:extLst>
        </xdr:cNvPr>
        <xdr:cNvSpPr/>
      </xdr:nvSpPr>
      <xdr:spPr>
        <a:xfrm>
          <a:off x="8295003" y="6748363"/>
          <a:ext cx="6970974" cy="2170502"/>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329045</xdr:colOff>
      <xdr:row>11</xdr:row>
      <xdr:rowOff>34637</xdr:rowOff>
    </xdr:from>
    <xdr:to>
      <xdr:col>25</xdr:col>
      <xdr:colOff>147205</xdr:colOff>
      <xdr:row>23</xdr:row>
      <xdr:rowOff>147204</xdr:rowOff>
    </xdr:to>
    <xdr:sp macro="" textlink="">
      <xdr:nvSpPr>
        <xdr:cNvPr id="12" name="Flowchart: Alternate Process 11">
          <a:extLst>
            <a:ext uri="{FF2B5EF4-FFF2-40B4-BE49-F238E27FC236}">
              <a16:creationId xmlns:a16="http://schemas.microsoft.com/office/drawing/2014/main" id="{91358460-02B7-4F52-88FE-219E0C00BEF7}"/>
            </a:ext>
          </a:extLst>
        </xdr:cNvPr>
        <xdr:cNvSpPr/>
      </xdr:nvSpPr>
      <xdr:spPr>
        <a:xfrm>
          <a:off x="11845636" y="2034887"/>
          <a:ext cx="3454978" cy="2294658"/>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302661</xdr:colOff>
      <xdr:row>24</xdr:row>
      <xdr:rowOff>34636</xdr:rowOff>
    </xdr:from>
    <xdr:to>
      <xdr:col>25</xdr:col>
      <xdr:colOff>120821</xdr:colOff>
      <xdr:row>36</xdr:row>
      <xdr:rowOff>132816</xdr:rowOff>
    </xdr:to>
    <xdr:sp macro="" textlink="">
      <xdr:nvSpPr>
        <xdr:cNvPr id="13" name="Flowchart: Alternate Process 12">
          <a:extLst>
            <a:ext uri="{FF2B5EF4-FFF2-40B4-BE49-F238E27FC236}">
              <a16:creationId xmlns:a16="http://schemas.microsoft.com/office/drawing/2014/main" id="{3F5E97B3-A047-4FFD-8467-F97E719C180C}"/>
            </a:ext>
          </a:extLst>
        </xdr:cNvPr>
        <xdr:cNvSpPr/>
      </xdr:nvSpPr>
      <xdr:spPr>
        <a:xfrm>
          <a:off x="11819252" y="4398818"/>
          <a:ext cx="3454978" cy="2280271"/>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214054</xdr:colOff>
      <xdr:row>3</xdr:row>
      <xdr:rowOff>58191</xdr:rowOff>
    </xdr:from>
    <xdr:to>
      <xdr:col>5</xdr:col>
      <xdr:colOff>259773</xdr:colOff>
      <xdr:row>3</xdr:row>
      <xdr:rowOff>103910</xdr:rowOff>
    </xdr:to>
    <xdr:sp macro="" textlink="">
      <xdr:nvSpPr>
        <xdr:cNvPr id="14" name="TextBox 13">
          <a:extLst>
            <a:ext uri="{FF2B5EF4-FFF2-40B4-BE49-F238E27FC236}">
              <a16:creationId xmlns:a16="http://schemas.microsoft.com/office/drawing/2014/main" id="{F34803F2-0D9A-C4E0-B3B1-5FF5512447D9}"/>
            </a:ext>
          </a:extLst>
        </xdr:cNvPr>
        <xdr:cNvSpPr txBox="1"/>
      </xdr:nvSpPr>
      <xdr:spPr>
        <a:xfrm flipH="1" flipV="1">
          <a:off x="3244736" y="603714"/>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BHJELWS</a:t>
          </a:r>
        </a:p>
        <a:p>
          <a:endParaRPr lang="en-IN" sz="1100"/>
        </a:p>
      </xdr:txBody>
    </xdr:sp>
    <xdr:clientData/>
  </xdr:twoCellAnchor>
  <xdr:twoCellAnchor>
    <xdr:from>
      <xdr:col>7</xdr:col>
      <xdr:colOff>597474</xdr:colOff>
      <xdr:row>4</xdr:row>
      <xdr:rowOff>8657</xdr:rowOff>
    </xdr:from>
    <xdr:to>
      <xdr:col>18</xdr:col>
      <xdr:colOff>69271</xdr:colOff>
      <xdr:row>9</xdr:row>
      <xdr:rowOff>138544</xdr:rowOff>
    </xdr:to>
    <xdr:sp macro="" textlink="">
      <xdr:nvSpPr>
        <xdr:cNvPr id="15" name="TextBox 14">
          <a:extLst>
            <a:ext uri="{FF2B5EF4-FFF2-40B4-BE49-F238E27FC236}">
              <a16:creationId xmlns:a16="http://schemas.microsoft.com/office/drawing/2014/main" id="{D67CAB99-E6E3-EF1D-152A-BE0B36D0766C}"/>
            </a:ext>
          </a:extLst>
        </xdr:cNvPr>
        <xdr:cNvSpPr txBox="1"/>
      </xdr:nvSpPr>
      <xdr:spPr>
        <a:xfrm>
          <a:off x="4840429" y="736021"/>
          <a:ext cx="6139297" cy="103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ysClr val="windowText" lastClr="000000"/>
              </a:solidFill>
              <a:latin typeface="+mn-lt"/>
            </a:rPr>
            <a:t>SALES</a:t>
          </a:r>
          <a:r>
            <a:rPr lang="en-IN" sz="4800" b="1" baseline="0">
              <a:solidFill>
                <a:sysClr val="windowText" lastClr="000000"/>
              </a:solidFill>
              <a:latin typeface="+mn-lt"/>
            </a:rPr>
            <a:t>  DASHBOARD</a:t>
          </a:r>
          <a:endParaRPr lang="en-IN" sz="4800" b="1">
            <a:solidFill>
              <a:sysClr val="windowText" lastClr="000000"/>
            </a:solidFill>
            <a:latin typeface="+mn-lt"/>
          </a:endParaRPr>
        </a:p>
      </xdr:txBody>
    </xdr:sp>
    <xdr:clientData/>
  </xdr:twoCellAnchor>
  <xdr:twoCellAnchor editAs="oneCell">
    <xdr:from>
      <xdr:col>5</xdr:col>
      <xdr:colOff>190499</xdr:colOff>
      <xdr:row>2</xdr:row>
      <xdr:rowOff>126422</xdr:rowOff>
    </xdr:from>
    <xdr:to>
      <xdr:col>8</xdr:col>
      <xdr:colOff>77932</xdr:colOff>
      <xdr:row>10</xdr:row>
      <xdr:rowOff>31173</xdr:rowOff>
    </xdr:to>
    <xdr:pic>
      <xdr:nvPicPr>
        <xdr:cNvPr id="17" name="Graphic 16" descr="Bar graph with upward trend with solid fill">
          <a:extLst>
            <a:ext uri="{FF2B5EF4-FFF2-40B4-BE49-F238E27FC236}">
              <a16:creationId xmlns:a16="http://schemas.microsoft.com/office/drawing/2014/main" id="{084746AE-78E0-54E8-5DAB-6FD6962B0B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21181" y="490104"/>
          <a:ext cx="1705842" cy="1359478"/>
        </a:xfrm>
        <a:prstGeom prst="rect">
          <a:avLst/>
        </a:prstGeom>
      </xdr:spPr>
    </xdr:pic>
    <xdr:clientData/>
  </xdr:twoCellAnchor>
  <xdr:twoCellAnchor editAs="oneCell">
    <xdr:from>
      <xdr:col>2</xdr:col>
      <xdr:colOff>43295</xdr:colOff>
      <xdr:row>3</xdr:row>
      <xdr:rowOff>121227</xdr:rowOff>
    </xdr:from>
    <xdr:to>
      <xdr:col>3</xdr:col>
      <xdr:colOff>502227</xdr:colOff>
      <xdr:row>9</xdr:row>
      <xdr:rowOff>95250</xdr:rowOff>
    </xdr:to>
    <xdr:pic>
      <xdr:nvPicPr>
        <xdr:cNvPr id="19" name="Graphic 18" descr="Target Audience with solid fill">
          <a:extLst>
            <a:ext uri="{FF2B5EF4-FFF2-40B4-BE49-F238E27FC236}">
              <a16:creationId xmlns:a16="http://schemas.microsoft.com/office/drawing/2014/main" id="{91FD7EAE-AE5C-10A2-CFAB-F18A9079C3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5568" y="666750"/>
          <a:ext cx="1065068" cy="1065068"/>
        </a:xfrm>
        <a:prstGeom prst="rect">
          <a:avLst/>
        </a:prstGeom>
      </xdr:spPr>
    </xdr:pic>
    <xdr:clientData/>
  </xdr:twoCellAnchor>
  <xdr:twoCellAnchor editAs="oneCell">
    <xdr:from>
      <xdr:col>5</xdr:col>
      <xdr:colOff>60613</xdr:colOff>
      <xdr:row>13</xdr:row>
      <xdr:rowOff>86591</xdr:rowOff>
    </xdr:from>
    <xdr:to>
      <xdr:col>6</xdr:col>
      <xdr:colOff>199159</xdr:colOff>
      <xdr:row>17</xdr:row>
      <xdr:rowOff>103910</xdr:rowOff>
    </xdr:to>
    <xdr:pic>
      <xdr:nvPicPr>
        <xdr:cNvPr id="21" name="Graphic 20" descr="Coins with solid fill">
          <a:extLst>
            <a:ext uri="{FF2B5EF4-FFF2-40B4-BE49-F238E27FC236}">
              <a16:creationId xmlns:a16="http://schemas.microsoft.com/office/drawing/2014/main" id="{5A73B905-5357-606E-057B-DAE1A98FF9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91295" y="2450523"/>
          <a:ext cx="744682" cy="744682"/>
        </a:xfrm>
        <a:prstGeom prst="rect">
          <a:avLst/>
        </a:prstGeom>
      </xdr:spPr>
    </xdr:pic>
    <xdr:clientData/>
  </xdr:twoCellAnchor>
  <xdr:twoCellAnchor>
    <xdr:from>
      <xdr:col>6</xdr:col>
      <xdr:colOff>138546</xdr:colOff>
      <xdr:row>12</xdr:row>
      <xdr:rowOff>51954</xdr:rowOff>
    </xdr:from>
    <xdr:to>
      <xdr:col>8</xdr:col>
      <xdr:colOff>510886</xdr:colOff>
      <xdr:row>15</xdr:row>
      <xdr:rowOff>103909</xdr:rowOff>
    </xdr:to>
    <xdr:sp macro="" textlink="">
      <xdr:nvSpPr>
        <xdr:cNvPr id="22" name="Flowchart: Alternate Process 21">
          <a:extLst>
            <a:ext uri="{FF2B5EF4-FFF2-40B4-BE49-F238E27FC236}">
              <a16:creationId xmlns:a16="http://schemas.microsoft.com/office/drawing/2014/main" id="{448657CB-7AF6-8561-F675-52DF705DF3DF}"/>
            </a:ext>
          </a:extLst>
        </xdr:cNvPr>
        <xdr:cNvSpPr/>
      </xdr:nvSpPr>
      <xdr:spPr>
        <a:xfrm>
          <a:off x="3775364" y="2234045"/>
          <a:ext cx="1584613" cy="59747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259772</xdr:colOff>
      <xdr:row>14</xdr:row>
      <xdr:rowOff>95251</xdr:rowOff>
    </xdr:from>
    <xdr:to>
      <xdr:col>8</xdr:col>
      <xdr:colOff>450272</xdr:colOff>
      <xdr:row>17</xdr:row>
      <xdr:rowOff>43297</xdr:rowOff>
    </xdr:to>
    <xdr:sp macro="" textlink="Pivot!A5">
      <xdr:nvSpPr>
        <xdr:cNvPr id="23" name="Flowchart: Alternate Process 22">
          <a:extLst>
            <a:ext uri="{FF2B5EF4-FFF2-40B4-BE49-F238E27FC236}">
              <a16:creationId xmlns:a16="http://schemas.microsoft.com/office/drawing/2014/main" id="{923A08FC-1C8B-C3ED-43B6-11721F614096}"/>
            </a:ext>
          </a:extLst>
        </xdr:cNvPr>
        <xdr:cNvSpPr/>
      </xdr:nvSpPr>
      <xdr:spPr>
        <a:xfrm>
          <a:off x="3896590" y="2641024"/>
          <a:ext cx="1402773" cy="49356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E541998-EC2D-4D02-8E1A-421C504AB805}" type="TxLink">
            <a:rPr lang="en-US" sz="2000" b="0" i="0" u="none" strike="noStrike">
              <a:ln>
                <a:solidFill>
                  <a:schemeClr val="tx1"/>
                </a:solidFill>
              </a:ln>
              <a:solidFill>
                <a:srgbClr val="000000"/>
              </a:solidFill>
              <a:latin typeface="Calibri"/>
              <a:ea typeface="Calibri"/>
              <a:cs typeface="Calibri"/>
            </a:rPr>
            <a:pPr algn="l"/>
            <a:t>₹ 2,29,192</a:t>
          </a:fld>
          <a:endParaRPr lang="en-IN" sz="2000">
            <a:ln>
              <a:solidFill>
                <a:schemeClr val="tx1"/>
              </a:solidFill>
            </a:ln>
          </a:endParaRPr>
        </a:p>
      </xdr:txBody>
    </xdr:sp>
    <xdr:clientData/>
  </xdr:twoCellAnchor>
  <xdr:twoCellAnchor editAs="oneCell">
    <xdr:from>
      <xdr:col>9</xdr:col>
      <xdr:colOff>225136</xdr:colOff>
      <xdr:row>13</xdr:row>
      <xdr:rowOff>17319</xdr:rowOff>
    </xdr:from>
    <xdr:to>
      <xdr:col>10</xdr:col>
      <xdr:colOff>398318</xdr:colOff>
      <xdr:row>17</xdr:row>
      <xdr:rowOff>69275</xdr:rowOff>
    </xdr:to>
    <xdr:pic>
      <xdr:nvPicPr>
        <xdr:cNvPr id="25" name="Graphic 24" descr="Shopping cart with solid fill">
          <a:extLst>
            <a:ext uri="{FF2B5EF4-FFF2-40B4-BE49-F238E27FC236}">
              <a16:creationId xmlns:a16="http://schemas.microsoft.com/office/drawing/2014/main" id="{70DAFFAD-FDFC-E8DF-DD7A-BAE5ACA469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80363" y="2381251"/>
          <a:ext cx="779319" cy="779319"/>
        </a:xfrm>
        <a:prstGeom prst="rect">
          <a:avLst/>
        </a:prstGeom>
      </xdr:spPr>
    </xdr:pic>
    <xdr:clientData/>
  </xdr:twoCellAnchor>
  <xdr:twoCellAnchor>
    <xdr:from>
      <xdr:col>12</xdr:col>
      <xdr:colOff>39425</xdr:colOff>
      <xdr:row>14</xdr:row>
      <xdr:rowOff>91786</xdr:rowOff>
    </xdr:from>
    <xdr:to>
      <xdr:col>14</xdr:col>
      <xdr:colOff>229925</xdr:colOff>
      <xdr:row>17</xdr:row>
      <xdr:rowOff>39832</xdr:rowOff>
    </xdr:to>
    <xdr:sp macro="" textlink="Pivot!I19">
      <xdr:nvSpPr>
        <xdr:cNvPr id="27" name="Flowchart: Alternate Process 26">
          <a:extLst>
            <a:ext uri="{FF2B5EF4-FFF2-40B4-BE49-F238E27FC236}">
              <a16:creationId xmlns:a16="http://schemas.microsoft.com/office/drawing/2014/main" id="{32563ADF-CE74-4C78-8F19-0ACB0C8AD8A0}"/>
            </a:ext>
          </a:extLst>
        </xdr:cNvPr>
        <xdr:cNvSpPr/>
      </xdr:nvSpPr>
      <xdr:spPr>
        <a:xfrm>
          <a:off x="7313061" y="2637559"/>
          <a:ext cx="1402773" cy="49356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3A97D-C04D-4E8A-8498-912D84AA84D2}" type="TxLink">
            <a:rPr lang="en-US" sz="2000" b="0" i="0" u="none" strike="noStrike">
              <a:ln>
                <a:solidFill>
                  <a:schemeClr val="tx1"/>
                </a:solidFill>
              </a:ln>
              <a:solidFill>
                <a:srgbClr val="000000"/>
              </a:solidFill>
              <a:latin typeface="Calibri"/>
              <a:ea typeface="Calibri"/>
              <a:cs typeface="Calibri"/>
            </a:rPr>
            <a:pPr algn="l"/>
            <a:t>753</a:t>
          </a:fld>
          <a:endParaRPr lang="en-IN" sz="2000">
            <a:ln>
              <a:solidFill>
                <a:schemeClr val="tx1"/>
              </a:solidFill>
            </a:ln>
          </a:endParaRPr>
        </a:p>
      </xdr:txBody>
    </xdr:sp>
    <xdr:clientData/>
  </xdr:twoCellAnchor>
  <xdr:twoCellAnchor>
    <xdr:from>
      <xdr:col>10</xdr:col>
      <xdr:colOff>337297</xdr:colOff>
      <xdr:row>11</xdr:row>
      <xdr:rowOff>155861</xdr:rowOff>
    </xdr:from>
    <xdr:to>
      <xdr:col>13</xdr:col>
      <xdr:colOff>398318</xdr:colOff>
      <xdr:row>15</xdr:row>
      <xdr:rowOff>51952</xdr:rowOff>
    </xdr:to>
    <xdr:sp macro="" textlink="Pivot!A5">
      <xdr:nvSpPr>
        <xdr:cNvPr id="28" name="Flowchart: Alternate Process 27">
          <a:extLst>
            <a:ext uri="{FF2B5EF4-FFF2-40B4-BE49-F238E27FC236}">
              <a16:creationId xmlns:a16="http://schemas.microsoft.com/office/drawing/2014/main" id="{F8F81B7C-EC08-42D4-9995-79733B6FD187}"/>
            </a:ext>
          </a:extLst>
        </xdr:cNvPr>
        <xdr:cNvSpPr/>
      </xdr:nvSpPr>
      <xdr:spPr>
        <a:xfrm>
          <a:off x="6398661" y="2156111"/>
          <a:ext cx="1879430" cy="623455"/>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Total Quantity</a:t>
          </a:r>
          <a:endParaRPr lang="en-IN" sz="1800" b="1">
            <a:ln>
              <a:solidFill>
                <a:schemeClr val="tx1"/>
              </a:solidFill>
            </a:ln>
          </a:endParaRPr>
        </a:p>
      </xdr:txBody>
    </xdr:sp>
    <xdr:clientData/>
  </xdr:twoCellAnchor>
  <xdr:twoCellAnchor>
    <xdr:from>
      <xdr:col>4</xdr:col>
      <xdr:colOff>591207</xdr:colOff>
      <xdr:row>20</xdr:row>
      <xdr:rowOff>52552</xdr:rowOff>
    </xdr:from>
    <xdr:to>
      <xdr:col>13</xdr:col>
      <xdr:colOff>236482</xdr:colOff>
      <xdr:row>34</xdr:row>
      <xdr:rowOff>6570</xdr:rowOff>
    </xdr:to>
    <xdr:graphicFrame macro="">
      <xdr:nvGraphicFramePr>
        <xdr:cNvPr id="29" name="Chart 1">
          <a:extLst>
            <a:ext uri="{FF2B5EF4-FFF2-40B4-BE49-F238E27FC236}">
              <a16:creationId xmlns:a16="http://schemas.microsoft.com/office/drawing/2014/main" id="{CACB2004-CAC4-8ECA-FE45-B9FA721D9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304800</xdr:colOff>
      <xdr:row>11</xdr:row>
      <xdr:rowOff>85726</xdr:rowOff>
    </xdr:from>
    <xdr:to>
      <xdr:col>19</xdr:col>
      <xdr:colOff>209549</xdr:colOff>
      <xdr:row>35</xdr:row>
      <xdr:rowOff>114300</xdr:rowOff>
    </xdr:to>
    <mc:AlternateContent xmlns:mc="http://schemas.openxmlformats.org/markup-compatibility/2006">
      <mc:Choice xmlns:cx2="http://schemas.microsoft.com/office/drawing/2015/10/21/chartex" Requires="cx2">
        <xdr:graphicFrame macro="">
          <xdr:nvGraphicFramePr>
            <xdr:cNvPr id="30" name="Chart 2">
              <a:extLst>
                <a:ext uri="{FF2B5EF4-FFF2-40B4-BE49-F238E27FC236}">
                  <a16:creationId xmlns:a16="http://schemas.microsoft.com/office/drawing/2014/main" id="{1D26B763-DA86-BECE-CF18-720CD5BCFE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229600" y="2097406"/>
              <a:ext cx="3562349" cy="44176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553231</xdr:colOff>
      <xdr:row>11</xdr:row>
      <xdr:rowOff>52191</xdr:rowOff>
    </xdr:from>
    <xdr:to>
      <xdr:col>25</xdr:col>
      <xdr:colOff>20876</xdr:colOff>
      <xdr:row>23</xdr:row>
      <xdr:rowOff>83507</xdr:rowOff>
    </xdr:to>
    <xdr:graphicFrame macro="">
      <xdr:nvGraphicFramePr>
        <xdr:cNvPr id="31" name="Chart 3">
          <a:extLst>
            <a:ext uri="{FF2B5EF4-FFF2-40B4-BE49-F238E27FC236}">
              <a16:creationId xmlns:a16="http://schemas.microsoft.com/office/drawing/2014/main" id="{3466CEC3-9DB2-8CBA-D8FB-311C63DC3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594984</xdr:colOff>
      <xdr:row>24</xdr:row>
      <xdr:rowOff>1</xdr:rowOff>
    </xdr:from>
    <xdr:to>
      <xdr:col>25</xdr:col>
      <xdr:colOff>521917</xdr:colOff>
      <xdr:row>36</xdr:row>
      <xdr:rowOff>93945</xdr:rowOff>
    </xdr:to>
    <xdr:graphicFrame macro="">
      <xdr:nvGraphicFramePr>
        <xdr:cNvPr id="33" name="Chart 5">
          <a:extLst>
            <a:ext uri="{FF2B5EF4-FFF2-40B4-BE49-F238E27FC236}">
              <a16:creationId xmlns:a16="http://schemas.microsoft.com/office/drawing/2014/main" id="{082A411F-40D0-295F-E475-D5D4A9F5E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62629</xdr:colOff>
      <xdr:row>34</xdr:row>
      <xdr:rowOff>83506</xdr:rowOff>
    </xdr:from>
    <xdr:to>
      <xdr:col>13</xdr:col>
      <xdr:colOff>417534</xdr:colOff>
      <xdr:row>49</xdr:row>
      <xdr:rowOff>104383</xdr:rowOff>
    </xdr:to>
    <xdr:graphicFrame macro="">
      <xdr:nvGraphicFramePr>
        <xdr:cNvPr id="34" name="Chart 6">
          <a:extLst>
            <a:ext uri="{FF2B5EF4-FFF2-40B4-BE49-F238E27FC236}">
              <a16:creationId xmlns:a16="http://schemas.microsoft.com/office/drawing/2014/main" id="{23E46020-1DE1-3BFE-BAF1-23717AF91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511479</xdr:colOff>
      <xdr:row>37</xdr:row>
      <xdr:rowOff>104384</xdr:rowOff>
    </xdr:from>
    <xdr:to>
      <xdr:col>25</xdr:col>
      <xdr:colOff>114822</xdr:colOff>
      <xdr:row>48</xdr:row>
      <xdr:rowOff>146137</xdr:rowOff>
    </xdr:to>
    <xdr:graphicFrame macro="">
      <xdr:nvGraphicFramePr>
        <xdr:cNvPr id="35" name="Chart 7">
          <a:extLst>
            <a:ext uri="{FF2B5EF4-FFF2-40B4-BE49-F238E27FC236}">
              <a16:creationId xmlns:a16="http://schemas.microsoft.com/office/drawing/2014/main" id="{98DF01DF-85F0-74A3-3DA2-8F2DBF97F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332688</xdr:colOff>
      <xdr:row>12</xdr:row>
      <xdr:rowOff>96936</xdr:rowOff>
    </xdr:from>
    <xdr:to>
      <xdr:col>4</xdr:col>
      <xdr:colOff>297872</xdr:colOff>
      <xdr:row>23</xdr:row>
      <xdr:rowOff>19726</xdr:rowOff>
    </xdr:to>
    <mc:AlternateContent xmlns:mc="http://schemas.openxmlformats.org/markup-compatibility/2006" xmlns:a14="http://schemas.microsoft.com/office/drawing/2010/main">
      <mc:Choice Requires="a14">
        <xdr:graphicFrame macro="">
          <xdr:nvGraphicFramePr>
            <xdr:cNvPr id="36" name="Year 1">
              <a:extLst>
                <a:ext uri="{FF2B5EF4-FFF2-40B4-BE49-F238E27FC236}">
                  <a16:creationId xmlns:a16="http://schemas.microsoft.com/office/drawing/2014/main" id="{1223E25C-FC8D-4BE1-A605-10E50437ECB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7450" y="2274079"/>
              <a:ext cx="1779470" cy="1918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323624</xdr:colOff>
      <xdr:row>23</xdr:row>
      <xdr:rowOff>133432</xdr:rowOff>
    </xdr:from>
    <xdr:to>
      <xdr:col>4</xdr:col>
      <xdr:colOff>317608</xdr:colOff>
      <xdr:row>37</xdr:row>
      <xdr:rowOff>73775</xdr:rowOff>
    </xdr:to>
    <mc:AlternateContent xmlns:mc="http://schemas.openxmlformats.org/markup-compatibility/2006" xmlns:a14="http://schemas.microsoft.com/office/drawing/2010/main">
      <mc:Choice Requires="a14">
        <xdr:graphicFrame macro="">
          <xdr:nvGraphicFramePr>
            <xdr:cNvPr id="37" name="Month 1">
              <a:extLst>
                <a:ext uri="{FF2B5EF4-FFF2-40B4-BE49-F238E27FC236}">
                  <a16:creationId xmlns:a16="http://schemas.microsoft.com/office/drawing/2014/main" id="{850B2C9D-CE23-4EE0-8C5D-8E094EF26D8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28386" y="4306289"/>
              <a:ext cx="1808270" cy="248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296887</xdr:colOff>
      <xdr:row>38</xdr:row>
      <xdr:rowOff>77359</xdr:rowOff>
    </xdr:from>
    <xdr:to>
      <xdr:col>4</xdr:col>
      <xdr:colOff>305354</xdr:colOff>
      <xdr:row>45</xdr:row>
      <xdr:rowOff>126999</xdr:rowOff>
    </xdr:to>
    <mc:AlternateContent xmlns:mc="http://schemas.openxmlformats.org/markup-compatibility/2006" xmlns:a14="http://schemas.microsoft.com/office/drawing/2010/main">
      <mc:Choice Requires="a14">
        <xdr:graphicFrame macro="">
          <xdr:nvGraphicFramePr>
            <xdr:cNvPr id="38" name="Category 2">
              <a:extLst>
                <a:ext uri="{FF2B5EF4-FFF2-40B4-BE49-F238E27FC236}">
                  <a16:creationId xmlns:a16="http://schemas.microsoft.com/office/drawing/2014/main" id="{8BEECBBB-EA46-4D65-983A-D21214F0DF7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01649" y="6971645"/>
              <a:ext cx="1822753" cy="131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243191</xdr:colOff>
      <xdr:row>1</xdr:row>
      <xdr:rowOff>48638</xdr:rowOff>
    </xdr:from>
    <xdr:to>
      <xdr:col>40</xdr:col>
      <xdr:colOff>486383</xdr:colOff>
      <xdr:row>50</xdr:row>
      <xdr:rowOff>48638</xdr:rowOff>
    </xdr:to>
    <xdr:sp macro="" textlink="">
      <xdr:nvSpPr>
        <xdr:cNvPr id="16" name="Rectangle: Rounded Corners 1">
          <a:extLst>
            <a:ext uri="{FF2B5EF4-FFF2-40B4-BE49-F238E27FC236}">
              <a16:creationId xmlns:a16="http://schemas.microsoft.com/office/drawing/2014/main" id="{7B037D14-A77D-4991-8084-8012648FCCCB}"/>
            </a:ext>
          </a:extLst>
        </xdr:cNvPr>
        <xdr:cNvSpPr/>
      </xdr:nvSpPr>
      <xdr:spPr>
        <a:xfrm>
          <a:off x="15645319" y="226978"/>
          <a:ext cx="9484468" cy="8738681"/>
        </a:xfrm>
        <a:custGeom>
          <a:avLst/>
          <a:gdLst>
            <a:gd name="csX0" fmla="*/ 0 w 12617527"/>
            <a:gd name="csY0" fmla="*/ 1185150 h 7110757"/>
            <a:gd name="csX1" fmla="*/ 1185150 w 12617527"/>
            <a:gd name="csY1" fmla="*/ 0 h 7110757"/>
            <a:gd name="csX2" fmla="*/ 11432377 w 12617527"/>
            <a:gd name="csY2" fmla="*/ 0 h 7110757"/>
            <a:gd name="csX3" fmla="*/ 12617527 w 12617527"/>
            <a:gd name="csY3" fmla="*/ 1185150 h 7110757"/>
            <a:gd name="csX4" fmla="*/ 12617527 w 12617527"/>
            <a:gd name="csY4" fmla="*/ 5925607 h 7110757"/>
            <a:gd name="csX5" fmla="*/ 11432377 w 12617527"/>
            <a:gd name="csY5" fmla="*/ 7110757 h 7110757"/>
            <a:gd name="csX6" fmla="*/ 1185150 w 12617527"/>
            <a:gd name="csY6" fmla="*/ 7110757 h 7110757"/>
            <a:gd name="csX7" fmla="*/ 0 w 12617527"/>
            <a:gd name="csY7" fmla="*/ 5925607 h 7110757"/>
            <a:gd name="csX8" fmla="*/ 0 w 12617527"/>
            <a:gd name="csY8" fmla="*/ 1185150 h 7110757"/>
            <a:gd name="csX0" fmla="*/ 0 w 12666165"/>
            <a:gd name="csY0" fmla="*/ 1185150 h 7110757"/>
            <a:gd name="csX1" fmla="*/ 1185150 w 12666165"/>
            <a:gd name="csY1" fmla="*/ 0 h 7110757"/>
            <a:gd name="csX2" fmla="*/ 11432377 w 12666165"/>
            <a:gd name="csY2" fmla="*/ 0 h 7110757"/>
            <a:gd name="csX3" fmla="*/ 12617527 w 12666165"/>
            <a:gd name="csY3" fmla="*/ 1185150 h 7110757"/>
            <a:gd name="csX4" fmla="*/ 12666165 w 12666165"/>
            <a:gd name="csY4" fmla="*/ 6411990 h 7110757"/>
            <a:gd name="csX5" fmla="*/ 11432377 w 12666165"/>
            <a:gd name="csY5" fmla="*/ 7110757 h 7110757"/>
            <a:gd name="csX6" fmla="*/ 1185150 w 12666165"/>
            <a:gd name="csY6" fmla="*/ 7110757 h 7110757"/>
            <a:gd name="csX7" fmla="*/ 0 w 12666165"/>
            <a:gd name="csY7" fmla="*/ 5925607 h 7110757"/>
            <a:gd name="csX8" fmla="*/ 0 w 12666165"/>
            <a:gd name="csY8" fmla="*/ 1185150 h 7110757"/>
            <a:gd name="csX0" fmla="*/ 0 w 12666165"/>
            <a:gd name="csY0" fmla="*/ 1185150 h 7110757"/>
            <a:gd name="csX1" fmla="*/ 1185150 w 12666165"/>
            <a:gd name="csY1" fmla="*/ 0 h 7110757"/>
            <a:gd name="csX2" fmla="*/ 11432377 w 12666165"/>
            <a:gd name="csY2" fmla="*/ 0 h 7110757"/>
            <a:gd name="csX3" fmla="*/ 12551266 w 12666165"/>
            <a:gd name="csY3" fmla="*/ 155480 h 7110757"/>
            <a:gd name="csX4" fmla="*/ 12617527 w 12666165"/>
            <a:gd name="csY4" fmla="*/ 1185150 h 7110757"/>
            <a:gd name="csX5" fmla="*/ 12666165 w 12666165"/>
            <a:gd name="csY5" fmla="*/ 6411990 h 7110757"/>
            <a:gd name="csX6" fmla="*/ 11432377 w 12666165"/>
            <a:gd name="csY6" fmla="*/ 7110757 h 7110757"/>
            <a:gd name="csX7" fmla="*/ 1185150 w 12666165"/>
            <a:gd name="csY7" fmla="*/ 7110757 h 7110757"/>
            <a:gd name="csX8" fmla="*/ 0 w 12666165"/>
            <a:gd name="csY8" fmla="*/ 5925607 h 7110757"/>
            <a:gd name="csX9" fmla="*/ 0 w 12666165"/>
            <a:gd name="csY9" fmla="*/ 1185150 h 7110757"/>
            <a:gd name="csX0" fmla="*/ 0 w 12727874"/>
            <a:gd name="csY0" fmla="*/ 1185150 h 7110757"/>
            <a:gd name="csX1" fmla="*/ 1185150 w 12727874"/>
            <a:gd name="csY1" fmla="*/ 0 h 7110757"/>
            <a:gd name="csX2" fmla="*/ 11432377 w 12727874"/>
            <a:gd name="csY2" fmla="*/ 0 h 7110757"/>
            <a:gd name="csX3" fmla="*/ 12551266 w 12727874"/>
            <a:gd name="csY3" fmla="*/ 155480 h 7110757"/>
            <a:gd name="csX4" fmla="*/ 12617527 w 12727874"/>
            <a:gd name="csY4" fmla="*/ 1185150 h 7110757"/>
            <a:gd name="csX5" fmla="*/ 12666165 w 12727874"/>
            <a:gd name="csY5" fmla="*/ 6411990 h 7110757"/>
            <a:gd name="csX6" fmla="*/ 12632330 w 12727874"/>
            <a:gd name="csY6" fmla="*/ 7045906 h 7110757"/>
            <a:gd name="csX7" fmla="*/ 11432377 w 12727874"/>
            <a:gd name="csY7" fmla="*/ 7110757 h 7110757"/>
            <a:gd name="csX8" fmla="*/ 1185150 w 12727874"/>
            <a:gd name="csY8" fmla="*/ 7110757 h 7110757"/>
            <a:gd name="csX9" fmla="*/ 0 w 12727874"/>
            <a:gd name="csY9" fmla="*/ 5925607 h 7110757"/>
            <a:gd name="csX10" fmla="*/ 0 w 12727874"/>
            <a:gd name="csY10" fmla="*/ 1185150 h 7110757"/>
            <a:gd name="csX0" fmla="*/ 3534 w 12731408"/>
            <a:gd name="csY0" fmla="*/ 1256851 h 7182458"/>
            <a:gd name="csX1" fmla="*/ 103395 w 12731408"/>
            <a:gd name="csY1" fmla="*/ 81266 h 7182458"/>
            <a:gd name="csX2" fmla="*/ 1188684 w 12731408"/>
            <a:gd name="csY2" fmla="*/ 71701 h 7182458"/>
            <a:gd name="csX3" fmla="*/ 11435911 w 12731408"/>
            <a:gd name="csY3" fmla="*/ 71701 h 7182458"/>
            <a:gd name="csX4" fmla="*/ 12554800 w 12731408"/>
            <a:gd name="csY4" fmla="*/ 227181 h 7182458"/>
            <a:gd name="csX5" fmla="*/ 12621061 w 12731408"/>
            <a:gd name="csY5" fmla="*/ 1256851 h 7182458"/>
            <a:gd name="csX6" fmla="*/ 12669699 w 12731408"/>
            <a:gd name="csY6" fmla="*/ 6483691 h 7182458"/>
            <a:gd name="csX7" fmla="*/ 12635864 w 12731408"/>
            <a:gd name="csY7" fmla="*/ 7117607 h 7182458"/>
            <a:gd name="csX8" fmla="*/ 11435911 w 12731408"/>
            <a:gd name="csY8" fmla="*/ 7182458 h 7182458"/>
            <a:gd name="csX9" fmla="*/ 1188684 w 12731408"/>
            <a:gd name="csY9" fmla="*/ 7182458 h 7182458"/>
            <a:gd name="csX10" fmla="*/ 3534 w 12731408"/>
            <a:gd name="csY10" fmla="*/ 5997308 h 7182458"/>
            <a:gd name="csX11" fmla="*/ 3534 w 12731408"/>
            <a:gd name="csY11" fmla="*/ 1256851 h 7182458"/>
            <a:gd name="csX0" fmla="*/ 3534 w 12731408"/>
            <a:gd name="csY0" fmla="*/ 1256851 h 7269814"/>
            <a:gd name="csX1" fmla="*/ 103395 w 12731408"/>
            <a:gd name="csY1" fmla="*/ 81266 h 7269814"/>
            <a:gd name="csX2" fmla="*/ 1188684 w 12731408"/>
            <a:gd name="csY2" fmla="*/ 71701 h 7269814"/>
            <a:gd name="csX3" fmla="*/ 11435911 w 12731408"/>
            <a:gd name="csY3" fmla="*/ 71701 h 7269814"/>
            <a:gd name="csX4" fmla="*/ 12554800 w 12731408"/>
            <a:gd name="csY4" fmla="*/ 227181 h 7269814"/>
            <a:gd name="csX5" fmla="*/ 12621061 w 12731408"/>
            <a:gd name="csY5" fmla="*/ 1256851 h 7269814"/>
            <a:gd name="csX6" fmla="*/ 12669699 w 12731408"/>
            <a:gd name="csY6" fmla="*/ 6483691 h 7269814"/>
            <a:gd name="csX7" fmla="*/ 12635864 w 12731408"/>
            <a:gd name="csY7" fmla="*/ 7117607 h 7269814"/>
            <a:gd name="csX8" fmla="*/ 11435911 w 12731408"/>
            <a:gd name="csY8" fmla="*/ 7182458 h 7269814"/>
            <a:gd name="csX9" fmla="*/ 1188684 w 12731408"/>
            <a:gd name="csY9" fmla="*/ 7182458 h 7269814"/>
            <a:gd name="csX10" fmla="*/ 184458 w 12731408"/>
            <a:gd name="csY10" fmla="*/ 7198670 h 7269814"/>
            <a:gd name="csX11" fmla="*/ 3534 w 12731408"/>
            <a:gd name="csY11" fmla="*/ 5997308 h 7269814"/>
            <a:gd name="csX12" fmla="*/ 3534 w 12731408"/>
            <a:gd name="csY12" fmla="*/ 1256851 h 7269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731408" h="7269814">
              <a:moveTo>
                <a:pt x="3534" y="1256851"/>
              </a:moveTo>
              <a:cubicBezTo>
                <a:pt x="63411" y="311376"/>
                <a:pt x="-94130" y="278791"/>
                <a:pt x="103395" y="81266"/>
              </a:cubicBezTo>
              <a:cubicBezTo>
                <a:pt x="300920" y="-116259"/>
                <a:pt x="-656835" y="113827"/>
                <a:pt x="1188684" y="71701"/>
              </a:cubicBezTo>
              <a:lnTo>
                <a:pt x="11435911" y="71701"/>
              </a:lnTo>
              <a:cubicBezTo>
                <a:pt x="13276221" y="124636"/>
                <a:pt x="12357275" y="29656"/>
                <a:pt x="12554800" y="227181"/>
              </a:cubicBezTo>
              <a:cubicBezTo>
                <a:pt x="12752325" y="424706"/>
                <a:pt x="12547869" y="241121"/>
                <a:pt x="12621061" y="1256851"/>
              </a:cubicBezTo>
              <a:cubicBezTo>
                <a:pt x="12621061" y="2837003"/>
                <a:pt x="12669699" y="4903539"/>
                <a:pt x="12669699" y="6483691"/>
              </a:cubicBezTo>
              <a:cubicBezTo>
                <a:pt x="12647847" y="7436164"/>
                <a:pt x="12841495" y="7001146"/>
                <a:pt x="12635864" y="7117607"/>
              </a:cubicBezTo>
              <a:cubicBezTo>
                <a:pt x="12430233" y="7234068"/>
                <a:pt x="13319455" y="7147330"/>
                <a:pt x="11435911" y="7182458"/>
              </a:cubicBezTo>
              <a:lnTo>
                <a:pt x="1188684" y="7182458"/>
              </a:lnTo>
              <a:cubicBezTo>
                <a:pt x="-675750" y="7112203"/>
                <a:pt x="381983" y="7396195"/>
                <a:pt x="184458" y="7198670"/>
              </a:cubicBezTo>
              <a:cubicBezTo>
                <a:pt x="-13067" y="7001145"/>
                <a:pt x="44497" y="6914654"/>
                <a:pt x="3534" y="5997308"/>
              </a:cubicBezTo>
              <a:lnTo>
                <a:pt x="3534" y="1256851"/>
              </a:lnTo>
              <a:close/>
            </a:path>
          </a:pathLst>
        </a:cu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3">
                <a:lumMod val="20000"/>
                <a:lumOff val="80000"/>
              </a:schemeClr>
            </a:solidFill>
          </a:endParaRPr>
        </a:p>
      </xdr:txBody>
    </xdr:sp>
    <xdr:clientData/>
  </xdr:twoCellAnchor>
  <xdr:twoCellAnchor>
    <xdr:from>
      <xdr:col>25</xdr:col>
      <xdr:colOff>431321</xdr:colOff>
      <xdr:row>2</xdr:row>
      <xdr:rowOff>43133</xdr:rowOff>
    </xdr:from>
    <xdr:to>
      <xdr:col>40</xdr:col>
      <xdr:colOff>359434</xdr:colOff>
      <xdr:row>49</xdr:row>
      <xdr:rowOff>14379</xdr:rowOff>
    </xdr:to>
    <xdr:sp macro="" textlink="">
      <xdr:nvSpPr>
        <xdr:cNvPr id="18" name="TextBox 17">
          <a:extLst>
            <a:ext uri="{FF2B5EF4-FFF2-40B4-BE49-F238E27FC236}">
              <a16:creationId xmlns:a16="http://schemas.microsoft.com/office/drawing/2014/main" id="{0B331212-9DE6-1F28-D962-64A31AFF3AD7}"/>
            </a:ext>
          </a:extLst>
        </xdr:cNvPr>
        <xdr:cNvSpPr txBox="1"/>
      </xdr:nvSpPr>
      <xdr:spPr>
        <a:xfrm>
          <a:off x="15527547" y="416944"/>
          <a:ext cx="8985849" cy="875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The sales Dashboard Report</a:t>
          </a:r>
        </a:p>
        <a:p>
          <a:endParaRPr lang="en-IN" sz="1800"/>
        </a:p>
        <a:p>
          <a:r>
            <a:rPr lang="en-IN" sz="1800"/>
            <a:t>This Sales Dashboard provides a comprehensive view of the company’s </a:t>
          </a:r>
          <a:r>
            <a:rPr lang="en-IN" sz="1800" b="1"/>
            <a:t>sales performance</a:t>
          </a:r>
          <a:r>
            <a:rPr lang="en-IN" sz="1800"/>
            <a:t> </a:t>
          </a:r>
          <a:r>
            <a:rPr lang="en-IN" sz="1800" b="1"/>
            <a:t>Total Sales:</a:t>
          </a:r>
          <a:r>
            <a:rPr lang="en-IN" sz="1800"/>
            <a:t> ₹2,29,192</a:t>
          </a:r>
        </a:p>
        <a:p>
          <a:r>
            <a:rPr lang="en-IN" sz="1800" b="1"/>
            <a:t>Total Quantity Sold:</a:t>
          </a:r>
          <a:r>
            <a:rPr lang="en-IN" sz="1800"/>
            <a:t> 753 units</a:t>
          </a:r>
        </a:p>
        <a:p>
          <a:endParaRPr lang="en-IN" sz="1800"/>
        </a:p>
        <a:p>
          <a:r>
            <a:rPr lang="en-IN" sz="1800"/>
            <a:t>The </a:t>
          </a:r>
          <a:r>
            <a:rPr lang="en-IN" sz="1800" b="1"/>
            <a:t>Total Sales by Year</a:t>
          </a:r>
          <a:r>
            <a:rPr lang="en-IN" sz="1800"/>
            <a:t> chart shows a steady increase in sales from </a:t>
          </a:r>
          <a:r>
            <a:rPr lang="en-IN" sz="1800" b="1"/>
            <a:t>2021 to 2024</a:t>
          </a:r>
          <a:r>
            <a:rPr lang="en-IN" sz="1800"/>
            <a:t>, indicating consistent business growth. Among categories, </a:t>
          </a:r>
          <a:r>
            <a:rPr lang="en-IN" sz="1800" b="1"/>
            <a:t>Electronics</a:t>
          </a:r>
          <a:r>
            <a:rPr lang="en-IN" sz="1800"/>
            <a:t> contributes the highest sales, followed by </a:t>
          </a:r>
          <a:r>
            <a:rPr lang="en-IN" sz="1800" b="1"/>
            <a:t>Appliances and Furniture</a:t>
          </a:r>
          <a:r>
            <a:rPr lang="en-IN" sz="1800"/>
            <a:t>.</a:t>
          </a:r>
        </a:p>
        <a:p>
          <a:endParaRPr lang="en-IN" sz="1800"/>
        </a:p>
        <a:p>
          <a:r>
            <a:rPr lang="en-IN" sz="1800"/>
            <a:t>The </a:t>
          </a:r>
          <a:r>
            <a:rPr lang="en-IN" sz="1800" b="1"/>
            <a:t>Sales by Product</a:t>
          </a:r>
          <a:r>
            <a:rPr lang="en-IN" sz="1800"/>
            <a:t> chart highlights:</a:t>
          </a:r>
        </a:p>
        <a:p>
          <a:r>
            <a:rPr lang="en-IN" sz="1800" b="1"/>
            <a:t>Laptops and Smartphones</a:t>
          </a:r>
          <a:r>
            <a:rPr lang="en-IN" sz="1800"/>
            <a:t> as the top-selling products.</a:t>
          </a:r>
        </a:p>
        <a:p>
          <a:r>
            <a:rPr lang="en-IN" sz="1800"/>
            <a:t>Moderate contribution from </a:t>
          </a:r>
          <a:r>
            <a:rPr lang="en-IN" sz="1800" b="1"/>
            <a:t>Desks and Monitors</a:t>
          </a:r>
          <a:r>
            <a:rPr lang="en-IN" sz="1800"/>
            <a:t>.</a:t>
          </a:r>
        </a:p>
        <a:p>
          <a:r>
            <a:rPr lang="en-IN" sz="1800"/>
            <a:t>Lower sales from accessories like </a:t>
          </a:r>
          <a:r>
            <a:rPr lang="en-IN" sz="1800" b="1"/>
            <a:t>Keyboards, Headphones, and Blenders</a:t>
          </a:r>
          <a:r>
            <a:rPr lang="en-IN" sz="1800"/>
            <a:t>.</a:t>
          </a:r>
        </a:p>
        <a:p>
          <a:endParaRPr lang="en-IN" sz="1800"/>
        </a:p>
        <a:p>
          <a:r>
            <a:rPr lang="en-IN" sz="1800"/>
            <a:t>The </a:t>
          </a:r>
          <a:r>
            <a:rPr lang="en-IN" sz="1800" b="1"/>
            <a:t>Sales by Region</a:t>
          </a:r>
          <a:r>
            <a:rPr lang="en-IN" sz="1800"/>
            <a:t> chart indicates:</a:t>
          </a:r>
        </a:p>
        <a:p>
          <a:r>
            <a:rPr lang="en-IN" sz="1800"/>
            <a:t>The </a:t>
          </a:r>
          <a:r>
            <a:rPr lang="en-IN" sz="1800" b="1"/>
            <a:t>East region</a:t>
          </a:r>
          <a:r>
            <a:rPr lang="en-IN" sz="1800"/>
            <a:t> generates the highest sales.</a:t>
          </a:r>
        </a:p>
        <a:p>
          <a:r>
            <a:rPr lang="en-IN" sz="1800" b="1"/>
            <a:t>North and Central</a:t>
          </a:r>
          <a:r>
            <a:rPr lang="en-IN" sz="1800"/>
            <a:t> regions show moderate performance.</a:t>
          </a:r>
        </a:p>
        <a:p>
          <a:r>
            <a:rPr lang="en-IN" sz="1800" b="1"/>
            <a:t>South and West</a:t>
          </a:r>
          <a:r>
            <a:rPr lang="en-IN" sz="1800"/>
            <a:t> regions have relatively lower sales.</a:t>
          </a:r>
        </a:p>
        <a:p>
          <a:r>
            <a:rPr lang="en-IN" sz="1800"/>
            <a:t>This insight can support region-specific marketing and sales planning.</a:t>
          </a:r>
        </a:p>
        <a:p>
          <a:endParaRPr lang="en-IN" sz="1800"/>
        </a:p>
        <a:p>
          <a:r>
            <a:rPr lang="en-IN" sz="1800"/>
            <a:t>The </a:t>
          </a:r>
          <a:r>
            <a:rPr lang="en-IN" sz="1800" b="1"/>
            <a:t>Total Sales by Month</a:t>
          </a:r>
          <a:r>
            <a:rPr lang="en-IN" sz="1800"/>
            <a:t> chart reveals:</a:t>
          </a:r>
        </a:p>
        <a:p>
          <a:r>
            <a:rPr lang="en-IN" sz="1800"/>
            <a:t>Sales fluctuations throughout the year.</a:t>
          </a:r>
        </a:p>
        <a:p>
          <a:endParaRPr lang="en-IN" sz="1800"/>
        </a:p>
        <a:p>
          <a:r>
            <a:rPr lang="en-IN" sz="1800"/>
            <a:t>The </a:t>
          </a:r>
          <a:r>
            <a:rPr lang="en-IN" sz="1800" b="1"/>
            <a:t>Total Customers by Year</a:t>
          </a:r>
          <a:r>
            <a:rPr lang="en-IN" sz="1800"/>
            <a:t> chart shows variation in customer count across years, helping evaluate customer growth and retention over time.</a:t>
          </a:r>
        </a:p>
        <a:p>
          <a:endParaRPr lang="en-IN" sz="1800"/>
        </a:p>
        <a:p>
          <a:pPr marL="0" marR="0" lvl="0" indent="0" defTabSz="914400" eaLnBrk="1" fontAlgn="auto" latinLnBrk="0" hangingPunct="1">
            <a:lnSpc>
              <a:spcPct val="100000"/>
            </a:lnSpc>
            <a:spcBef>
              <a:spcPts val="0"/>
            </a:spcBef>
            <a:spcAft>
              <a:spcPts val="0"/>
            </a:spcAft>
            <a:buClrTx/>
            <a:buSzTx/>
            <a:buFontTx/>
            <a:buNone/>
            <a:tabLst/>
            <a:defRPr/>
          </a:pPr>
          <a:r>
            <a:rPr lang="en-IN" sz="1800"/>
            <a:t>The Sales Dashboard effectively highlights key business insights such as </a:t>
          </a:r>
          <a:r>
            <a:rPr lang="en-IN" sz="1800" b="1"/>
            <a:t>top products, high-value customers, strong regions, and sales trends</a:t>
          </a:r>
          <a:r>
            <a:rPr lang="en-IN" sz="1800"/>
            <a:t>. It supports data-driven decision-making for </a:t>
          </a:r>
          <a:r>
            <a:rPr lang="en-IN" sz="1800" b="1"/>
            <a:t>inventory planning, customer targeting, and regional strategy</a:t>
          </a:r>
          <a:r>
            <a:rPr lang="en-IN" sz="1800"/>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450151620367" createdVersion="8" refreshedVersion="8" minRefreshableVersion="3" recordCount="1000" xr:uid="{73B47C2C-C416-42DC-B5E9-EA07B99C07E3}">
  <cacheSource type="worksheet">
    <worksheetSource ref="A1:N1048576" sheet="Dataset"/>
  </cacheSource>
  <cacheFields count="14">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cacheField>
    <cacheField name="Customer_ID" numFmtId="0">
      <sharedItems containsBlank="1" count="51">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m/>
      </sharedItems>
    </cacheField>
    <cacheField name="Customer_Name" numFmtId="0">
      <sharedItems containsBlank="1"/>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s>
  <extLst>
    <ext xmlns:x14="http://schemas.microsoft.com/office/spreadsheetml/2009/9/main" uri="{725AE2AE-9491-48be-B2B4-4EB974FC3084}">
      <x14:pivotCacheDefinition pivotCacheId="760096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7.873218981484" createdVersion="8" refreshedVersion="8" minRefreshableVersion="3" recordCount="250" xr:uid="{37D1FF01-C8C8-43F4-B20D-6E466E5C3AC3}">
  <cacheSource type="worksheet">
    <worksheetSource ref="L1:M251" sheet="Pivot"/>
  </cacheSource>
  <cacheFields count="2">
    <cacheField name="Customer_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8.491227777777" createdVersion="8" refreshedVersion="8" minRefreshableVersion="3" recordCount="1000" xr:uid="{966EA033-C178-492A-B5EF-389F9F07AD6D}">
  <cacheSource type="worksheet">
    <worksheetSource ref="A1:P1048576" sheet="Dataset"/>
  </cacheSource>
  <cacheFields count="16">
    <cacheField name="Transaction_ID" numFmtId="0">
      <sharedItems containsBlank="1"/>
    </cacheField>
    <cacheField name="Date" numFmtId="0">
      <sharedItems containsNonDate="0" containsDate="1" containsString="0" containsBlank="1" minDate="2024-04-11T00:00:00" maxDate="2025-04-12T00:00:00"/>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Month" numFmtId="0">
      <sharedItems containsString="0" containsBlank="1" containsNumber="1" containsInteger="1" minValue="1" maxValue="12" count="13">
        <n v="8"/>
        <n v="1"/>
        <n v="12"/>
        <n v="7"/>
        <n v="3"/>
        <n v="10"/>
        <n v="6"/>
        <n v="9"/>
        <n v="2"/>
        <n v="11"/>
        <n v="5"/>
        <n v="4"/>
        <m/>
      </sharedItems>
    </cacheField>
    <cacheField name="Year" numFmtId="0">
      <sharedItems containsString="0" containsBlank="1" containsNumber="1" containsInteger="1" minValue="2021" maxValue="2025" count="6">
        <n v="2021"/>
        <n v="2022"/>
        <n v="2023"/>
        <n v="2024"/>
        <m/>
        <n v="2025" u="1"/>
      </sharedItems>
    </cacheField>
  </cacheFields>
  <extLst>
    <ext xmlns:x14="http://schemas.microsoft.com/office/spreadsheetml/2009/9/main" uri="{725AE2AE-9491-48be-B2B4-4EB974FC3084}">
      <x14:pivotCacheDefinition pivotCacheId="132324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x v="0"/>
    <x v="0"/>
    <s v="Paul Baker"/>
    <s v="P009"/>
    <x v="0"/>
    <x v="0"/>
    <n v="3"/>
    <n v="249.99"/>
    <s v="Cash"/>
    <s v="Central"/>
    <s v="Basic"/>
    <d v="2021-08-17T00:00:00"/>
    <n v="749.97"/>
  </r>
  <r>
    <s v="TRX0023"/>
    <x v="1"/>
    <x v="1"/>
    <s v="Joseph Jackson"/>
    <s v="P009"/>
    <x v="0"/>
    <x v="0"/>
    <n v="3"/>
    <n v="249.99"/>
    <s v="Credit Card"/>
    <s v="Central"/>
    <s v="Premium"/>
    <d v="2022-01-14T00:00:00"/>
    <n v="749.97"/>
  </r>
  <r>
    <s v="TRX0139"/>
    <x v="2"/>
    <x v="2"/>
    <s v="Kevin Scott"/>
    <s v="P005"/>
    <x v="1"/>
    <x v="1"/>
    <n v="3"/>
    <n v="59.99"/>
    <s v="PayPal"/>
    <s v="South"/>
    <s v="Standard"/>
    <d v="2023-12-02T00:00:00"/>
    <n v="179.97"/>
  </r>
  <r>
    <s v="TRX0043"/>
    <x v="3"/>
    <x v="3"/>
    <s v="Kathleen Bennett"/>
    <s v="P005"/>
    <x v="1"/>
    <x v="1"/>
    <n v="3"/>
    <n v="59.99"/>
    <s v="Cash"/>
    <s v="North"/>
    <s v="Premium"/>
    <d v="2023-07-07T00:00:00"/>
    <n v="179.97"/>
  </r>
  <r>
    <s v="TRX0212"/>
    <x v="3"/>
    <x v="4"/>
    <s v="Michael Brown"/>
    <s v="P008"/>
    <x v="2"/>
    <x v="2"/>
    <n v="5"/>
    <n v="149.99"/>
    <s v="Credit Card"/>
    <s v="North"/>
    <s v="Premium"/>
    <d v="2024-01-04T00:00:00"/>
    <n v="749.95"/>
  </r>
  <r>
    <s v="TRX0092"/>
    <x v="4"/>
    <x v="5"/>
    <s v="Dorothy Nelson"/>
    <s v="P005"/>
    <x v="1"/>
    <x v="1"/>
    <n v="2"/>
    <n v="59.99"/>
    <s v="Cash"/>
    <s v="West"/>
    <s v="Standard"/>
    <d v="2022-07-04T00:00:00"/>
    <n v="119.98"/>
  </r>
  <r>
    <s v="TRX0193"/>
    <x v="4"/>
    <x v="5"/>
    <s v="Dorothy Nelson"/>
    <s v="P003"/>
    <x v="3"/>
    <x v="0"/>
    <n v="5"/>
    <n v="149.99"/>
    <s v="Credit Card"/>
    <s v="Central"/>
    <s v="Standard"/>
    <d v="2021-08-10T00:00:00"/>
    <n v="749.95"/>
  </r>
  <r>
    <s v="TRX0240"/>
    <x v="4"/>
    <x v="6"/>
    <s v="Charles Allen"/>
    <s v="P005"/>
    <x v="1"/>
    <x v="1"/>
    <n v="3"/>
    <n v="59.99"/>
    <s v="Debit Card"/>
    <s v="South"/>
    <s v="Basic"/>
    <d v="2023-03-22T00:00:00"/>
    <n v="179.97"/>
  </r>
  <r>
    <s v="TRX0135"/>
    <x v="5"/>
    <x v="7"/>
    <s v="Robert Thomas"/>
    <s v="P001"/>
    <x v="4"/>
    <x v="0"/>
    <n v="3"/>
    <n v="899.99"/>
    <s v="PayPal"/>
    <s v="East"/>
    <s v="Standard"/>
    <d v="2024-01-08T00:00:00"/>
    <n v="2699.97"/>
  </r>
  <r>
    <s v="TRX0185"/>
    <x v="6"/>
    <x v="8"/>
    <s v="Karen Hill"/>
    <s v="P005"/>
    <x v="1"/>
    <x v="1"/>
    <n v="3"/>
    <n v="59.99"/>
    <s v="Cash"/>
    <s v="West"/>
    <s v="Premium"/>
    <d v="2023-10-08T00:00:00"/>
    <n v="179.97"/>
  </r>
  <r>
    <s v="TRX0138"/>
    <x v="6"/>
    <x v="9"/>
    <s v="Susan Green"/>
    <s v="P008"/>
    <x v="2"/>
    <x v="2"/>
    <n v="1"/>
    <n v="149.99"/>
    <s v="Credit Card"/>
    <s v="West"/>
    <s v="Standard"/>
    <d v="2023-06-26T00:00:00"/>
    <n v="149.99"/>
  </r>
  <r>
    <s v="TRX0209"/>
    <x v="6"/>
    <x v="3"/>
    <s v="Kathleen Bennett"/>
    <s v="P008"/>
    <x v="2"/>
    <x v="2"/>
    <n v="5"/>
    <n v="149.99"/>
    <s v="Debit Card"/>
    <s v="North"/>
    <s v="Basic"/>
    <d v="2022-09-26T00:00:00"/>
    <n v="749.95"/>
  </r>
  <r>
    <s v="TRX0246"/>
    <x v="6"/>
    <x v="10"/>
    <s v="Peter Richardson"/>
    <s v="P008"/>
    <x v="2"/>
    <x v="2"/>
    <n v="3"/>
    <n v="149.99"/>
    <s v="Cash"/>
    <s v="North"/>
    <s v="Premium"/>
    <d v="2022-09-02T00:00:00"/>
    <n v="449.97"/>
  </r>
  <r>
    <s v="TRX0067"/>
    <x v="7"/>
    <x v="11"/>
    <s v="Dennis Gray"/>
    <s v="P005"/>
    <x v="1"/>
    <x v="1"/>
    <n v="3"/>
    <n v="59.99"/>
    <s v="Credit Card"/>
    <s v="North"/>
    <s v="Standard"/>
    <d v="2024-02-29T00:00:00"/>
    <n v="179.97"/>
  </r>
  <r>
    <s v="TRX0191"/>
    <x v="7"/>
    <x v="12"/>
    <s v="Michelle Rogers"/>
    <s v="P002"/>
    <x v="5"/>
    <x v="0"/>
    <n v="3"/>
    <n v="699.99"/>
    <s v="Credit Card"/>
    <s v="West"/>
    <s v="Basic"/>
    <d v="2022-01-16T00:00:00"/>
    <n v="2099.9699999999998"/>
  </r>
  <r>
    <s v="TRX0230"/>
    <x v="7"/>
    <x v="13"/>
    <s v="George Adams"/>
    <s v="P001"/>
    <x v="4"/>
    <x v="0"/>
    <n v="1"/>
    <n v="899.99"/>
    <s v="Debit Card"/>
    <s v="North"/>
    <s v="Standard"/>
    <d v="2022-12-25T00:00:00"/>
    <n v="899.99"/>
  </r>
  <r>
    <s v="TRX0049"/>
    <x v="8"/>
    <x v="14"/>
    <s v="Mark Carter"/>
    <s v="P008"/>
    <x v="2"/>
    <x v="2"/>
    <n v="4"/>
    <n v="149.99"/>
    <s v="Debit Card"/>
    <s v="North"/>
    <s v="Premium"/>
    <d v="2024-03-23T00:00:00"/>
    <n v="599.96"/>
  </r>
  <r>
    <s v="TRX0134"/>
    <x v="8"/>
    <x v="15"/>
    <s v="Maria Garcia"/>
    <s v="P002"/>
    <x v="5"/>
    <x v="0"/>
    <n v="2"/>
    <n v="699.99"/>
    <s v="Cash"/>
    <s v="North"/>
    <s v="Basic"/>
    <d v="2022-08-08T00:00:00"/>
    <n v="1399.98"/>
  </r>
  <r>
    <s v="TRX0122"/>
    <x v="8"/>
    <x v="14"/>
    <s v="Mark Carter"/>
    <s v="P001"/>
    <x v="4"/>
    <x v="0"/>
    <n v="4"/>
    <n v="899.99"/>
    <s v="Credit Card"/>
    <s v="West"/>
    <s v="Standard"/>
    <d v="2024-02-05T00:00:00"/>
    <n v="3599.96"/>
  </r>
  <r>
    <s v="TRX0222"/>
    <x v="8"/>
    <x v="16"/>
    <s v="Virginia Sanders"/>
    <s v="P009"/>
    <x v="0"/>
    <x v="0"/>
    <n v="3"/>
    <n v="249.99"/>
    <s v="Credit Card"/>
    <s v="North"/>
    <s v="Premium"/>
    <d v="2023-10-25T00:00:00"/>
    <n v="749.97"/>
  </r>
  <r>
    <s v="TRX0231"/>
    <x v="9"/>
    <x v="17"/>
    <s v="Barbara Young"/>
    <s v="P002"/>
    <x v="5"/>
    <x v="0"/>
    <n v="5"/>
    <n v="699.99"/>
    <s v="Cash"/>
    <s v="West"/>
    <s v="Basic"/>
    <d v="2023-08-29T00:00:00"/>
    <n v="3499.95"/>
  </r>
  <r>
    <s v="TRX0239"/>
    <x v="10"/>
    <x v="18"/>
    <s v="Patricia Moore"/>
    <s v="P002"/>
    <x v="5"/>
    <x v="0"/>
    <n v="4"/>
    <n v="699.99"/>
    <s v="Cash"/>
    <s v="East"/>
    <s v="Standard"/>
    <d v="2021-08-01T00:00:00"/>
    <n v="2799.96"/>
  </r>
  <r>
    <s v="TRX0204"/>
    <x v="11"/>
    <x v="19"/>
    <s v="Cynthia Price"/>
    <s v="P009"/>
    <x v="0"/>
    <x v="0"/>
    <n v="4"/>
    <n v="249.99"/>
    <s v="PayPal"/>
    <s v="North"/>
    <s v="Standard"/>
    <d v="2021-09-29T00:00:00"/>
    <n v="999.96"/>
  </r>
  <r>
    <s v="TRX0242"/>
    <x v="12"/>
    <x v="14"/>
    <s v="Mark Carter"/>
    <s v="P007"/>
    <x v="6"/>
    <x v="2"/>
    <n v="4"/>
    <n v="299.99"/>
    <s v="Cash"/>
    <s v="West"/>
    <s v="Premium"/>
    <d v="2022-06-04T00:00:00"/>
    <n v="1199.96"/>
  </r>
  <r>
    <s v="TRX0071"/>
    <x v="13"/>
    <x v="20"/>
    <s v="Nancy Collins"/>
    <s v="P009"/>
    <x v="0"/>
    <x v="0"/>
    <n v="5"/>
    <n v="249.99"/>
    <s v="Credit Card"/>
    <s v="West"/>
    <s v="Standard"/>
    <d v="2021-11-25T00:00:00"/>
    <n v="1249.95"/>
  </r>
  <r>
    <s v="TRX0040"/>
    <x v="14"/>
    <x v="9"/>
    <s v="Susan Green"/>
    <s v="P007"/>
    <x v="6"/>
    <x v="2"/>
    <n v="5"/>
    <n v="299.99"/>
    <s v="PayPal"/>
    <s v="East"/>
    <s v="Basic"/>
    <d v="2023-08-30T00:00:00"/>
    <n v="1499.95"/>
  </r>
  <r>
    <s v="TRX0235"/>
    <x v="14"/>
    <x v="21"/>
    <s v="Linda Martin"/>
    <s v="P004"/>
    <x v="7"/>
    <x v="1"/>
    <n v="3"/>
    <n v="79.989999999999995"/>
    <s v="PayPal"/>
    <s v="East"/>
    <s v="Premium"/>
    <d v="2023-03-27T00:00:00"/>
    <n v="239.97"/>
  </r>
  <r>
    <s v="TRX0004"/>
    <x v="14"/>
    <x v="18"/>
    <s v="Patricia Moore"/>
    <s v="P010"/>
    <x v="8"/>
    <x v="0"/>
    <n v="5"/>
    <n v="89.99"/>
    <s v="Cash"/>
    <s v="North"/>
    <s v="Premium"/>
    <d v="2022-12-24T00:00:00"/>
    <n v="449.95"/>
  </r>
  <r>
    <s v="TRX0063"/>
    <x v="15"/>
    <x v="22"/>
    <s v="Helen Roberts"/>
    <s v="P005"/>
    <x v="1"/>
    <x v="1"/>
    <n v="2"/>
    <n v="59.99"/>
    <s v="Debit Card"/>
    <s v="Central"/>
    <s v="Standard"/>
    <d v="2023-10-15T00:00:00"/>
    <n v="119.98"/>
  </r>
  <r>
    <s v="TRX0241"/>
    <x v="16"/>
    <x v="23"/>
    <s v="Edward Mitchell"/>
    <s v="P005"/>
    <x v="1"/>
    <x v="1"/>
    <n v="4"/>
    <n v="59.99"/>
    <s v="Debit Card"/>
    <s v="East"/>
    <s v="Standard"/>
    <d v="2022-11-02T00:00:00"/>
    <n v="239.96"/>
  </r>
  <r>
    <s v="TRX0029"/>
    <x v="16"/>
    <x v="6"/>
    <s v="Charles Allen"/>
    <s v="P006"/>
    <x v="9"/>
    <x v="2"/>
    <n v="5"/>
    <n v="199.99"/>
    <s v="Cash"/>
    <s v="South"/>
    <s v="Standard"/>
    <d v="2021-08-04T00:00:00"/>
    <n v="999.95"/>
  </r>
  <r>
    <s v="TRX0194"/>
    <x v="17"/>
    <x v="24"/>
    <s v="Lisa Anderson"/>
    <s v="P008"/>
    <x v="2"/>
    <x v="2"/>
    <n v="2"/>
    <n v="149.99"/>
    <s v="Credit Card"/>
    <s v="West"/>
    <s v="Basic"/>
    <d v="2022-09-19T00:00:00"/>
    <n v="299.98"/>
  </r>
  <r>
    <s v="TRX0130"/>
    <x v="18"/>
    <x v="25"/>
    <s v="Emma Wilson"/>
    <s v="P008"/>
    <x v="2"/>
    <x v="2"/>
    <n v="3"/>
    <n v="149.99"/>
    <s v="Credit Card"/>
    <s v="West"/>
    <s v="Premium"/>
    <d v="2023-05-22T00:00:00"/>
    <n v="449.97"/>
  </r>
  <r>
    <s v="TRX0041"/>
    <x v="19"/>
    <x v="2"/>
    <s v="Kevin Scott"/>
    <s v="P001"/>
    <x v="4"/>
    <x v="0"/>
    <n v="1"/>
    <n v="899.99"/>
    <s v="Credit Card"/>
    <s v="West"/>
    <s v="Premium"/>
    <d v="2022-01-17T00:00:00"/>
    <n v="899.99"/>
  </r>
  <r>
    <s v="TRX0232"/>
    <x v="20"/>
    <x v="18"/>
    <s v="Patricia Moore"/>
    <s v="P007"/>
    <x v="6"/>
    <x v="2"/>
    <n v="3"/>
    <n v="299.99"/>
    <s v="Credit Card"/>
    <s v="East"/>
    <s v="Basic"/>
    <d v="2022-09-20T00:00:00"/>
    <n v="899.97"/>
  </r>
  <r>
    <s v="TRX0021"/>
    <x v="21"/>
    <x v="24"/>
    <s v="Lisa Anderson"/>
    <s v="P004"/>
    <x v="7"/>
    <x v="1"/>
    <n v="3"/>
    <n v="79.989999999999995"/>
    <s v="Cash"/>
    <s v="South"/>
    <s v="Basic"/>
    <d v="2023-04-30T00:00:00"/>
    <n v="239.97"/>
  </r>
  <r>
    <s v="TRX0245"/>
    <x v="22"/>
    <x v="26"/>
    <s v="Steven Turner"/>
    <s v="P006"/>
    <x v="9"/>
    <x v="2"/>
    <n v="3"/>
    <n v="199.99"/>
    <s v="Credit Card"/>
    <s v="North"/>
    <s v="Premium"/>
    <d v="2024-01-01T00:00:00"/>
    <n v="599.97"/>
  </r>
  <r>
    <s v="TRX0015"/>
    <x v="23"/>
    <x v="27"/>
    <s v="Jennifer Taylor"/>
    <s v="P002"/>
    <x v="5"/>
    <x v="0"/>
    <n v="5"/>
    <n v="699.99"/>
    <s v="PayPal"/>
    <s v="West"/>
    <s v="Standard"/>
    <d v="2021-07-30T00:00:00"/>
    <n v="3499.95"/>
  </r>
  <r>
    <s v="TRX0202"/>
    <x v="24"/>
    <x v="28"/>
    <s v="Harry Morgan"/>
    <s v="P010"/>
    <x v="8"/>
    <x v="0"/>
    <n v="3"/>
    <n v="89.99"/>
    <s v="PayPal"/>
    <s v="Central"/>
    <s v="Premium"/>
    <d v="2023-07-13T00:00:00"/>
    <n v="269.97000000000003"/>
  </r>
  <r>
    <s v="TRX0042"/>
    <x v="25"/>
    <x v="29"/>
    <s v="Daniel King"/>
    <s v="P004"/>
    <x v="7"/>
    <x v="1"/>
    <n v="1"/>
    <n v="79.989999999999995"/>
    <s v="Cash"/>
    <s v="North"/>
    <s v="Standard"/>
    <d v="2022-12-22T00:00:00"/>
    <n v="79.989999999999995"/>
  </r>
  <r>
    <s v="TRX0128"/>
    <x v="26"/>
    <x v="30"/>
    <s v="Sharon Butler"/>
    <s v="P005"/>
    <x v="1"/>
    <x v="1"/>
    <n v="2"/>
    <n v="59.99"/>
    <s v="Cash"/>
    <s v="West"/>
    <s v="Basic"/>
    <d v="2024-04-08T00:00:00"/>
    <n v="119.98"/>
  </r>
  <r>
    <s v="TRX0117"/>
    <x v="26"/>
    <x v="6"/>
    <s v="Charles Allen"/>
    <s v="P010"/>
    <x v="8"/>
    <x v="0"/>
    <n v="1"/>
    <n v="89.99"/>
    <s v="Cash"/>
    <s v="North"/>
    <s v="Basic"/>
    <d v="2023-08-03T00:00:00"/>
    <n v="89.99"/>
  </r>
  <r>
    <s v="TRX0208"/>
    <x v="27"/>
    <x v="31"/>
    <s v="Sarah Davis"/>
    <s v="P010"/>
    <x v="8"/>
    <x v="0"/>
    <n v="5"/>
    <n v="89.99"/>
    <s v="Credit Card"/>
    <s v="East"/>
    <s v="Standard"/>
    <d v="2022-01-26T00:00:00"/>
    <n v="449.95"/>
  </r>
  <r>
    <s v="TRX0234"/>
    <x v="28"/>
    <x v="1"/>
    <s v="Joseph Jackson"/>
    <s v="P009"/>
    <x v="0"/>
    <x v="0"/>
    <n v="5"/>
    <n v="249.99"/>
    <s v="Credit Card"/>
    <s v="East"/>
    <s v="Standard"/>
    <d v="2022-05-26T00:00:00"/>
    <n v="1249.95"/>
  </r>
  <r>
    <s v="TRX0121"/>
    <x v="28"/>
    <x v="32"/>
    <s v="Betty Campbell"/>
    <s v="P010"/>
    <x v="8"/>
    <x v="0"/>
    <n v="1"/>
    <n v="89.99"/>
    <s v="Credit Card"/>
    <s v="South"/>
    <s v="Standard"/>
    <d v="2022-01-21T00:00:00"/>
    <n v="89.99"/>
  </r>
  <r>
    <s v="TRX0220"/>
    <x v="29"/>
    <x v="4"/>
    <s v="Michael Brown"/>
    <s v="P008"/>
    <x v="2"/>
    <x v="2"/>
    <n v="2"/>
    <n v="149.99"/>
    <s v="Cash"/>
    <s v="East"/>
    <s v="Premium"/>
    <d v="2022-03-25T00:00:00"/>
    <n v="299.98"/>
  </r>
  <r>
    <s v="TRX0093"/>
    <x v="30"/>
    <x v="33"/>
    <s v="Julie Foster"/>
    <s v="P005"/>
    <x v="1"/>
    <x v="1"/>
    <n v="4"/>
    <n v="59.99"/>
    <s v="Cash"/>
    <s v="East"/>
    <s v="Standard"/>
    <d v="2021-08-27T00:00:00"/>
    <n v="239.96"/>
  </r>
  <r>
    <s v="TRX0088"/>
    <x v="31"/>
    <x v="24"/>
    <s v="Lisa Anderson"/>
    <s v="P010"/>
    <x v="8"/>
    <x v="0"/>
    <n v="5"/>
    <n v="89.99"/>
    <s v="Cash"/>
    <s v="Central"/>
    <s v="Premium"/>
    <d v="2022-01-18T00:00:00"/>
    <n v="449.95"/>
  </r>
  <r>
    <s v="TRX0115"/>
    <x v="32"/>
    <x v="18"/>
    <s v="Patricia Moore"/>
    <s v="P010"/>
    <x v="8"/>
    <x v="0"/>
    <n v="2"/>
    <n v="89.99"/>
    <s v="Credit Card"/>
    <s v="South"/>
    <s v="Premium"/>
    <d v="2021-10-02T00:00:00"/>
    <n v="179.98"/>
  </r>
  <r>
    <s v="TRX0154"/>
    <x v="32"/>
    <x v="0"/>
    <s v="Paul Baker"/>
    <s v="P001"/>
    <x v="4"/>
    <x v="0"/>
    <n v="5"/>
    <n v="899.99"/>
    <s v="Credit Card"/>
    <s v="South"/>
    <s v="Standard"/>
    <d v="2023-02-17T00:00:00"/>
    <n v="4499.95"/>
  </r>
  <r>
    <s v="TRX0044"/>
    <x v="32"/>
    <x v="23"/>
    <s v="Edward Mitchell"/>
    <s v="P001"/>
    <x v="4"/>
    <x v="0"/>
    <n v="5"/>
    <n v="899.99"/>
    <s v="PayPal"/>
    <s v="East"/>
    <s v="Premium"/>
    <d v="2023-12-18T00:00:00"/>
    <n v="4499.95"/>
  </r>
  <r>
    <s v="TRX0061"/>
    <x v="33"/>
    <x v="32"/>
    <s v="Betty Campbell"/>
    <s v="P005"/>
    <x v="1"/>
    <x v="1"/>
    <n v="1"/>
    <n v="59.99"/>
    <s v="Debit Card"/>
    <s v="West"/>
    <s v="Premium"/>
    <d v="2023-09-21T00:00:00"/>
    <n v="59.99"/>
  </r>
  <r>
    <s v="TRX0150"/>
    <x v="33"/>
    <x v="27"/>
    <s v="Jennifer Taylor"/>
    <s v="P007"/>
    <x v="6"/>
    <x v="2"/>
    <n v="2"/>
    <n v="299.99"/>
    <s v="Debit Card"/>
    <s v="East"/>
    <s v="Standard"/>
    <d v="2023-11-23T00:00:00"/>
    <n v="599.98"/>
  </r>
  <r>
    <s v="TRX0025"/>
    <x v="34"/>
    <x v="34"/>
    <s v="Raymond Ross"/>
    <s v="P010"/>
    <x v="8"/>
    <x v="0"/>
    <n v="4"/>
    <n v="89.99"/>
    <s v="Debit Card"/>
    <s v="South"/>
    <s v="Basic"/>
    <d v="2023-12-21T00:00:00"/>
    <n v="359.96"/>
  </r>
  <r>
    <s v="TRX0078"/>
    <x v="35"/>
    <x v="2"/>
    <s v="Kevin Scott"/>
    <s v="P004"/>
    <x v="7"/>
    <x v="1"/>
    <n v="1"/>
    <n v="79.989999999999995"/>
    <s v="PayPal"/>
    <s v="Central"/>
    <s v="Premium"/>
    <d v="2024-03-01T00:00:00"/>
    <n v="79.989999999999995"/>
  </r>
  <r>
    <s v="TRX0007"/>
    <x v="35"/>
    <x v="7"/>
    <s v="Robert Thomas"/>
    <s v="P010"/>
    <x v="8"/>
    <x v="0"/>
    <n v="2"/>
    <n v="89.99"/>
    <s v="Cash"/>
    <s v="West"/>
    <s v="Basic"/>
    <d v="2021-08-30T00:00:00"/>
    <n v="179.98"/>
  </r>
  <r>
    <s v="TRX0184"/>
    <x v="36"/>
    <x v="3"/>
    <s v="Kathleen Bennett"/>
    <s v="P002"/>
    <x v="5"/>
    <x v="0"/>
    <n v="3"/>
    <n v="699.99"/>
    <s v="Credit Card"/>
    <s v="East"/>
    <s v="Premium"/>
    <d v="2023-06-25T00:00:00"/>
    <n v="2099.9699999999998"/>
  </r>
  <r>
    <s v="TRX0104"/>
    <x v="36"/>
    <x v="18"/>
    <s v="Patricia Moore"/>
    <s v="P001"/>
    <x v="4"/>
    <x v="0"/>
    <n v="4"/>
    <n v="899.99"/>
    <s v="Credit Card"/>
    <s v="East"/>
    <s v="Premium"/>
    <d v="2023-03-08T00:00:00"/>
    <n v="3599.96"/>
  </r>
  <r>
    <s v="TRX0127"/>
    <x v="37"/>
    <x v="22"/>
    <s v="Helen Roberts"/>
    <s v="P008"/>
    <x v="2"/>
    <x v="2"/>
    <n v="1"/>
    <n v="149.99"/>
    <s v="PayPal"/>
    <s v="East"/>
    <s v="Basic"/>
    <d v="2022-10-17T00:00:00"/>
    <n v="149.99"/>
  </r>
  <r>
    <s v="TRX0096"/>
    <x v="38"/>
    <x v="25"/>
    <s v="Emma Wilson"/>
    <s v="P010"/>
    <x v="8"/>
    <x v="0"/>
    <n v="2"/>
    <n v="89.99"/>
    <s v="PayPal"/>
    <s v="Central"/>
    <s v="Premium"/>
    <d v="2023-12-15T00:00:00"/>
    <n v="179.98"/>
  </r>
  <r>
    <s v="TRX0192"/>
    <x v="39"/>
    <x v="6"/>
    <s v="Charles Allen"/>
    <s v="P010"/>
    <x v="8"/>
    <x v="0"/>
    <n v="1"/>
    <n v="89.99"/>
    <s v="PayPal"/>
    <s v="West"/>
    <s v="Standard"/>
    <d v="2022-08-29T00:00:00"/>
    <n v="89.99"/>
  </r>
  <r>
    <s v="TRX0052"/>
    <x v="40"/>
    <x v="9"/>
    <s v="Susan Green"/>
    <s v="P010"/>
    <x v="8"/>
    <x v="0"/>
    <n v="1"/>
    <n v="89.99"/>
    <s v="Cash"/>
    <s v="South"/>
    <s v="Standard"/>
    <d v="2022-02-19T00:00:00"/>
    <n v="89.99"/>
  </r>
  <r>
    <s v="TRX0070"/>
    <x v="40"/>
    <x v="35"/>
    <s v="David Martinez"/>
    <s v="P004"/>
    <x v="7"/>
    <x v="1"/>
    <n v="5"/>
    <n v="79.989999999999995"/>
    <s v="Debit Card"/>
    <s v="Central"/>
    <s v="Basic"/>
    <d v="2023-02-24T00:00:00"/>
    <n v="399.95"/>
  </r>
  <r>
    <s v="TRX0086"/>
    <x v="41"/>
    <x v="36"/>
    <s v="Margaret Wright"/>
    <s v="P008"/>
    <x v="2"/>
    <x v="2"/>
    <n v="1"/>
    <n v="149.99"/>
    <s v="PayPal"/>
    <s v="North"/>
    <s v="Basic"/>
    <d v="2021-08-13T00:00:00"/>
    <n v="149.99"/>
  </r>
  <r>
    <s v="TRX0113"/>
    <x v="41"/>
    <x v="4"/>
    <s v="Michael Brown"/>
    <s v="P002"/>
    <x v="5"/>
    <x v="0"/>
    <n v="2"/>
    <n v="699.99"/>
    <s v="PayPal"/>
    <s v="East"/>
    <s v="Premium"/>
    <d v="2024-04-07T00:00:00"/>
    <n v="1399.98"/>
  </r>
  <r>
    <s v="TRX0114"/>
    <x v="41"/>
    <x v="17"/>
    <s v="Barbara Young"/>
    <s v="P010"/>
    <x v="8"/>
    <x v="0"/>
    <n v="5"/>
    <n v="89.99"/>
    <s v="Debit Card"/>
    <s v="North"/>
    <s v="Premium"/>
    <d v="2023-08-23T00:00:00"/>
    <n v="449.95"/>
  </r>
  <r>
    <s v="TRX0136"/>
    <x v="42"/>
    <x v="34"/>
    <s v="Raymond Ross"/>
    <s v="P005"/>
    <x v="1"/>
    <x v="1"/>
    <n v="4"/>
    <n v="59.99"/>
    <s v="Cash"/>
    <s v="South"/>
    <s v="Standard"/>
    <d v="2021-11-09T00:00:00"/>
    <n v="239.96"/>
  </r>
  <r>
    <s v="TRX0018"/>
    <x v="43"/>
    <x v="1"/>
    <s v="Joseph Jackson"/>
    <s v="P003"/>
    <x v="3"/>
    <x v="0"/>
    <n v="1"/>
    <n v="149.99"/>
    <s v="Cash"/>
    <s v="Central"/>
    <s v="Standard"/>
    <d v="2022-12-14T00:00:00"/>
    <n v="149.99"/>
  </r>
  <r>
    <s v="TRX0141"/>
    <x v="43"/>
    <x v="37"/>
    <s v="Frank Torres"/>
    <s v="P007"/>
    <x v="6"/>
    <x v="2"/>
    <n v="1"/>
    <n v="299.99"/>
    <s v="Credit Card"/>
    <s v="North"/>
    <s v="Premium"/>
    <d v="2022-11-26T00:00:00"/>
    <n v="299.99"/>
  </r>
  <r>
    <s v="TRX0097"/>
    <x v="44"/>
    <x v="37"/>
    <s v="Frank Torres"/>
    <s v="P006"/>
    <x v="9"/>
    <x v="2"/>
    <n v="2"/>
    <n v="199.99"/>
    <s v="Cash"/>
    <s v="North"/>
    <s v="Basic"/>
    <d v="2021-12-11T00:00:00"/>
    <n v="399.98"/>
  </r>
  <r>
    <s v="TRX0169"/>
    <x v="45"/>
    <x v="38"/>
    <s v="Gerald Murphy"/>
    <s v="P005"/>
    <x v="1"/>
    <x v="1"/>
    <n v="3"/>
    <n v="59.99"/>
    <s v="Credit Card"/>
    <s v="West"/>
    <s v="Basic"/>
    <d v="2023-07-23T00:00:00"/>
    <n v="179.97"/>
  </r>
  <r>
    <s v="TRX0216"/>
    <x v="45"/>
    <x v="10"/>
    <s v="Peter Richardson"/>
    <s v="P008"/>
    <x v="2"/>
    <x v="2"/>
    <n v="3"/>
    <n v="149.99"/>
    <s v="Cash"/>
    <s v="Central"/>
    <s v="Premium"/>
    <d v="2023-09-30T00:00:00"/>
    <n v="449.97"/>
  </r>
  <r>
    <s v="TRX0131"/>
    <x v="46"/>
    <x v="8"/>
    <s v="Karen Hill"/>
    <s v="P006"/>
    <x v="9"/>
    <x v="2"/>
    <n v="3"/>
    <n v="199.99"/>
    <s v="Cash"/>
    <s v="North"/>
    <s v="Premium"/>
    <d v="2023-11-24T00:00:00"/>
    <n v="599.97"/>
  </r>
  <r>
    <s v="TRX0162"/>
    <x v="47"/>
    <x v="30"/>
    <s v="Sharon Butler"/>
    <s v="P001"/>
    <x v="4"/>
    <x v="0"/>
    <n v="1"/>
    <n v="899.99"/>
    <s v="Cash"/>
    <s v="Central"/>
    <s v="Standard"/>
    <d v="2023-09-10T00:00:00"/>
    <n v="899.99"/>
  </r>
  <r>
    <s v="TRX0244"/>
    <x v="48"/>
    <x v="1"/>
    <s v="Joseph Jackson"/>
    <s v="P001"/>
    <x v="4"/>
    <x v="0"/>
    <n v="5"/>
    <n v="899.99"/>
    <s v="Debit Card"/>
    <s v="South"/>
    <s v="Standard"/>
    <d v="2022-12-04T00:00:00"/>
    <n v="4499.95"/>
  </r>
  <r>
    <s v="TRX0006"/>
    <x v="49"/>
    <x v="35"/>
    <s v="David Martinez"/>
    <s v="P005"/>
    <x v="1"/>
    <x v="1"/>
    <n v="2"/>
    <n v="59.99"/>
    <s v="Cash"/>
    <s v="North"/>
    <s v="Standard"/>
    <d v="2023-08-14T00:00:00"/>
    <n v="119.98"/>
  </r>
  <r>
    <s v="TRX0215"/>
    <x v="49"/>
    <x v="38"/>
    <s v="Gerald Murphy"/>
    <s v="P009"/>
    <x v="0"/>
    <x v="0"/>
    <n v="4"/>
    <n v="249.99"/>
    <s v="Debit Card"/>
    <s v="Central"/>
    <s v="Standard"/>
    <d v="2023-07-20T00:00:00"/>
    <n v="999.96"/>
  </r>
  <r>
    <s v="TRX0080"/>
    <x v="50"/>
    <x v="17"/>
    <s v="Barbara Young"/>
    <s v="P009"/>
    <x v="0"/>
    <x v="0"/>
    <n v="2"/>
    <n v="249.99"/>
    <s v="Cash"/>
    <s v="North"/>
    <s v="Premium"/>
    <d v="2023-08-26T00:00:00"/>
    <n v="499.98"/>
  </r>
  <r>
    <s v="TRX0228"/>
    <x v="50"/>
    <x v="29"/>
    <s v="Daniel King"/>
    <s v="P007"/>
    <x v="6"/>
    <x v="2"/>
    <n v="1"/>
    <n v="299.99"/>
    <s v="Cash"/>
    <s v="South"/>
    <s v="Basic"/>
    <d v="2023-02-25T00:00:00"/>
    <n v="299.99"/>
  </r>
  <r>
    <s v="TRX0157"/>
    <x v="51"/>
    <x v="14"/>
    <s v="Mark Carter"/>
    <s v="P010"/>
    <x v="8"/>
    <x v="0"/>
    <n v="2"/>
    <n v="89.99"/>
    <s v="PayPal"/>
    <s v="South"/>
    <s v="Basic"/>
    <d v="2023-02-19T00:00:00"/>
    <n v="179.98"/>
  </r>
  <r>
    <s v="TRX0002"/>
    <x v="51"/>
    <x v="29"/>
    <s v="Daniel King"/>
    <s v="P007"/>
    <x v="6"/>
    <x v="2"/>
    <n v="3"/>
    <n v="299.99"/>
    <s v="Cash"/>
    <s v="Central"/>
    <s v="Basic"/>
    <d v="2022-06-20T00:00:00"/>
    <n v="899.97"/>
  </r>
  <r>
    <s v="TRX0217"/>
    <x v="52"/>
    <x v="14"/>
    <s v="Mark Carter"/>
    <s v="P002"/>
    <x v="5"/>
    <x v="0"/>
    <n v="2"/>
    <n v="699.99"/>
    <s v="Credit Card"/>
    <s v="North"/>
    <s v="Premium"/>
    <d v="2023-03-14T00:00:00"/>
    <n v="1399.98"/>
  </r>
  <r>
    <s v="TRX0249"/>
    <x v="53"/>
    <x v="22"/>
    <s v="Helen Roberts"/>
    <s v="P001"/>
    <x v="4"/>
    <x v="0"/>
    <n v="4"/>
    <n v="899.99"/>
    <s v="Debit Card"/>
    <s v="South"/>
    <s v="Standard"/>
    <d v="2021-11-23T00:00:00"/>
    <n v="3599.96"/>
  </r>
  <r>
    <s v="TRX0065"/>
    <x v="54"/>
    <x v="39"/>
    <s v="Elizabeth Hall"/>
    <s v="P008"/>
    <x v="2"/>
    <x v="2"/>
    <n v="2"/>
    <n v="149.99"/>
    <s v="Credit Card"/>
    <s v="West"/>
    <s v="Basic"/>
    <d v="2021-12-12T00:00:00"/>
    <n v="299.98"/>
  </r>
  <r>
    <s v="TRX0176"/>
    <x v="55"/>
    <x v="19"/>
    <s v="Cynthia Price"/>
    <s v="P008"/>
    <x v="2"/>
    <x v="2"/>
    <n v="2"/>
    <n v="149.99"/>
    <s v="Debit Card"/>
    <s v="East"/>
    <s v="Standard"/>
    <d v="2022-04-16T00:00:00"/>
    <n v="299.98"/>
  </r>
  <r>
    <s v="TRX0101"/>
    <x v="56"/>
    <x v="15"/>
    <s v="Maria Garcia"/>
    <s v="P010"/>
    <x v="8"/>
    <x v="0"/>
    <n v="1"/>
    <n v="89.99"/>
    <s v="Credit Card"/>
    <s v="North"/>
    <s v="Standard"/>
    <d v="2024-04-11T00:00:00"/>
    <n v="89.99"/>
  </r>
  <r>
    <s v="TRX0205"/>
    <x v="57"/>
    <x v="14"/>
    <s v="Mark Carter"/>
    <s v="P007"/>
    <x v="6"/>
    <x v="2"/>
    <n v="5"/>
    <n v="299.99"/>
    <s v="Credit Card"/>
    <s v="North"/>
    <s v="Basic"/>
    <d v="2023-02-08T00:00:00"/>
    <n v="1499.95"/>
  </r>
  <r>
    <s v="TRX0020"/>
    <x v="58"/>
    <x v="35"/>
    <s v="David Martinez"/>
    <s v="P003"/>
    <x v="3"/>
    <x v="0"/>
    <n v="4"/>
    <n v="149.99"/>
    <s v="Debit Card"/>
    <s v="South"/>
    <s v="Premium"/>
    <d v="2022-09-16T00:00:00"/>
    <n v="599.96"/>
  </r>
  <r>
    <s v="TRX0075"/>
    <x v="58"/>
    <x v="36"/>
    <s v="Margaret Wright"/>
    <s v="P009"/>
    <x v="0"/>
    <x v="0"/>
    <n v="5"/>
    <n v="249.99"/>
    <s v="PayPal"/>
    <s v="East"/>
    <s v="Premium"/>
    <d v="2022-08-09T00:00:00"/>
    <n v="1249.95"/>
  </r>
  <r>
    <s v="TRX0098"/>
    <x v="58"/>
    <x v="8"/>
    <s v="Karen Hill"/>
    <s v="P009"/>
    <x v="0"/>
    <x v="0"/>
    <n v="3"/>
    <n v="249.99"/>
    <s v="PayPal"/>
    <s v="North"/>
    <s v="Premium"/>
    <d v="2021-09-26T00:00:00"/>
    <n v="749.97"/>
  </r>
  <r>
    <s v="TRX0247"/>
    <x v="58"/>
    <x v="3"/>
    <s v="Kathleen Bennett"/>
    <s v="P006"/>
    <x v="9"/>
    <x v="2"/>
    <n v="4"/>
    <n v="199.99"/>
    <s v="Cash"/>
    <s v="North"/>
    <s v="Standard"/>
    <d v="2021-09-19T00:00:00"/>
    <n v="799.96"/>
  </r>
  <r>
    <s v="TRX0027"/>
    <x v="59"/>
    <x v="32"/>
    <s v="Betty Campbell"/>
    <s v="P006"/>
    <x v="9"/>
    <x v="2"/>
    <n v="5"/>
    <n v="199.99"/>
    <s v="Cash"/>
    <s v="North"/>
    <s v="Premium"/>
    <d v="2023-03-06T00:00:00"/>
    <n v="999.95"/>
  </r>
  <r>
    <s v="TRX0140"/>
    <x v="60"/>
    <x v="14"/>
    <s v="Mark Carter"/>
    <s v="P010"/>
    <x v="8"/>
    <x v="0"/>
    <n v="2"/>
    <n v="89.99"/>
    <s v="Cash"/>
    <s v="East"/>
    <s v="Premium"/>
    <d v="2023-02-15T00:00:00"/>
    <n v="179.98"/>
  </r>
  <r>
    <s v="TRX0132"/>
    <x v="61"/>
    <x v="38"/>
    <s v="Gerald Murphy"/>
    <s v="P001"/>
    <x v="4"/>
    <x v="0"/>
    <n v="5"/>
    <n v="899.99"/>
    <s v="Debit Card"/>
    <s v="East"/>
    <s v="Basic"/>
    <d v="2021-11-26T00:00:00"/>
    <n v="4499.95"/>
  </r>
  <r>
    <s v="TRX0031"/>
    <x v="61"/>
    <x v="20"/>
    <s v="Nancy Collins"/>
    <s v="P003"/>
    <x v="3"/>
    <x v="0"/>
    <n v="3"/>
    <n v="149.99"/>
    <s v="PayPal"/>
    <s v="East"/>
    <s v="Basic"/>
    <d v="2022-01-13T00:00:00"/>
    <n v="449.97"/>
  </r>
  <r>
    <s v="TRX0236"/>
    <x v="62"/>
    <x v="19"/>
    <s v="Cynthia Price"/>
    <s v="P008"/>
    <x v="2"/>
    <x v="2"/>
    <n v="5"/>
    <n v="149.99"/>
    <s v="Credit Card"/>
    <s v="Central"/>
    <s v="Basic"/>
    <d v="2024-01-19T00:00:00"/>
    <n v="749.95"/>
  </r>
  <r>
    <s v="TRX0001"/>
    <x v="63"/>
    <x v="40"/>
    <s v="Lawrence Reed"/>
    <s v="P004"/>
    <x v="7"/>
    <x v="1"/>
    <n v="3"/>
    <n v="79.989999999999995"/>
    <s v="Cash"/>
    <s v="Central"/>
    <s v="Premium"/>
    <d v="2022-08-06T00:00:00"/>
    <n v="239.97"/>
  </r>
  <r>
    <s v="TRX0037"/>
    <x v="63"/>
    <x v="28"/>
    <s v="Harry Morgan"/>
    <s v="P009"/>
    <x v="0"/>
    <x v="0"/>
    <n v="2"/>
    <n v="249.99"/>
    <s v="Cash"/>
    <s v="South"/>
    <s v="Standard"/>
    <d v="2022-01-11T00:00:00"/>
    <n v="499.98"/>
  </r>
  <r>
    <s v="TRX0058"/>
    <x v="64"/>
    <x v="38"/>
    <s v="Gerald Murphy"/>
    <s v="P002"/>
    <x v="5"/>
    <x v="0"/>
    <n v="1"/>
    <n v="699.99"/>
    <s v="Cash"/>
    <s v="Central"/>
    <s v="Premium"/>
    <d v="2021-10-28T00:00:00"/>
    <n v="699.99"/>
  </r>
  <r>
    <s v="TRX0170"/>
    <x v="64"/>
    <x v="41"/>
    <s v="Carol Evans"/>
    <s v="P003"/>
    <x v="3"/>
    <x v="0"/>
    <n v="3"/>
    <n v="149.99"/>
    <s v="Cash"/>
    <s v="West"/>
    <s v="Premium"/>
    <d v="2023-10-13T00:00:00"/>
    <n v="449.97"/>
  </r>
  <r>
    <s v="TRX0248"/>
    <x v="65"/>
    <x v="42"/>
    <s v="Sandra Phillips"/>
    <s v="P002"/>
    <x v="5"/>
    <x v="0"/>
    <n v="2"/>
    <n v="699.99"/>
    <s v="Credit Card"/>
    <s v="North"/>
    <s v="Premium"/>
    <d v="2021-08-13T00:00:00"/>
    <n v="1399.98"/>
  </r>
  <r>
    <s v="TRX0099"/>
    <x v="66"/>
    <x v="41"/>
    <s v="Carol Evans"/>
    <s v="P009"/>
    <x v="0"/>
    <x v="0"/>
    <n v="1"/>
    <n v="249.99"/>
    <s v="Credit Card"/>
    <s v="West"/>
    <s v="Premium"/>
    <d v="2022-05-04T00:00:00"/>
    <n v="249.99"/>
  </r>
  <r>
    <s v="TRX0074"/>
    <x v="66"/>
    <x v="0"/>
    <s v="Paul Baker"/>
    <s v="P009"/>
    <x v="0"/>
    <x v="0"/>
    <n v="1"/>
    <n v="249.99"/>
    <s v="Debit Card"/>
    <s v="North"/>
    <s v="Premium"/>
    <d v="2024-02-10T00:00:00"/>
    <n v="249.99"/>
  </r>
  <r>
    <s v="TRX0225"/>
    <x v="67"/>
    <x v="40"/>
    <s v="Lawrence Reed"/>
    <s v="P002"/>
    <x v="5"/>
    <x v="0"/>
    <n v="2"/>
    <n v="699.99"/>
    <s v="Debit Card"/>
    <s v="Central"/>
    <s v="Premium"/>
    <d v="2022-11-05T00:00:00"/>
    <n v="1399.98"/>
  </r>
  <r>
    <s v="TRX0100"/>
    <x v="68"/>
    <x v="26"/>
    <s v="Steven Turner"/>
    <s v="P005"/>
    <x v="1"/>
    <x v="1"/>
    <n v="3"/>
    <n v="59.99"/>
    <s v="Credit Card"/>
    <s v="Central"/>
    <s v="Premium"/>
    <d v="2022-06-05T00:00:00"/>
    <n v="179.97"/>
  </r>
  <r>
    <s v="TRX0142"/>
    <x v="69"/>
    <x v="25"/>
    <s v="Emma Wilson"/>
    <s v="P005"/>
    <x v="1"/>
    <x v="1"/>
    <n v="3"/>
    <n v="59.99"/>
    <s v="PayPal"/>
    <s v="East"/>
    <s v="Standard"/>
    <d v="2022-07-06T00:00:00"/>
    <n v="179.97"/>
  </r>
  <r>
    <s v="TRX0112"/>
    <x v="69"/>
    <x v="27"/>
    <s v="Jennifer Taylor"/>
    <s v="P004"/>
    <x v="7"/>
    <x v="1"/>
    <n v="4"/>
    <n v="79.989999999999995"/>
    <s v="Cash"/>
    <s v="North"/>
    <s v="Basic"/>
    <d v="2021-11-30T00:00:00"/>
    <n v="319.95999999999998"/>
  </r>
  <r>
    <s v="TRX0161"/>
    <x v="70"/>
    <x v="6"/>
    <s v="Charles Allen"/>
    <s v="P004"/>
    <x v="7"/>
    <x v="1"/>
    <n v="1"/>
    <n v="79.989999999999995"/>
    <s v="Cash"/>
    <s v="West"/>
    <s v="Basic"/>
    <d v="2022-05-12T00:00:00"/>
    <n v="79.989999999999995"/>
  </r>
  <r>
    <s v="TRX0108"/>
    <x v="71"/>
    <x v="5"/>
    <s v="Dorothy Nelson"/>
    <s v="P007"/>
    <x v="6"/>
    <x v="2"/>
    <n v="3"/>
    <n v="299.99"/>
    <s v="Credit Card"/>
    <s v="Central"/>
    <s v="Premium"/>
    <d v="2021-10-25T00:00:00"/>
    <n v="899.97"/>
  </r>
  <r>
    <s v="TRX0211"/>
    <x v="72"/>
    <x v="3"/>
    <s v="Kathleen Bennett"/>
    <s v="P010"/>
    <x v="8"/>
    <x v="0"/>
    <n v="2"/>
    <n v="89.99"/>
    <s v="Credit Card"/>
    <s v="South"/>
    <s v="Premium"/>
    <d v="2022-03-21T00:00:00"/>
    <n v="179.98"/>
  </r>
  <r>
    <s v="TRX0005"/>
    <x v="73"/>
    <x v="43"/>
    <s v="Ruth Brooks"/>
    <s v="P003"/>
    <x v="3"/>
    <x v="0"/>
    <n v="4"/>
    <n v="149.99"/>
    <s v="Cash"/>
    <s v="North"/>
    <s v="Basic"/>
    <d v="2022-12-14T00:00:00"/>
    <n v="599.96"/>
  </r>
  <r>
    <s v="TRX0195"/>
    <x v="74"/>
    <x v="8"/>
    <s v="Karen Hill"/>
    <s v="P009"/>
    <x v="0"/>
    <x v="0"/>
    <n v="2"/>
    <n v="249.99"/>
    <s v="PayPal"/>
    <s v="South"/>
    <s v="Basic"/>
    <d v="2023-03-08T00:00:00"/>
    <n v="499.98"/>
  </r>
  <r>
    <s v="TRX0054"/>
    <x v="74"/>
    <x v="31"/>
    <s v="Sarah Davis"/>
    <s v="P006"/>
    <x v="9"/>
    <x v="2"/>
    <n v="4"/>
    <n v="199.99"/>
    <s v="Debit Card"/>
    <s v="East"/>
    <s v="Basic"/>
    <d v="2021-09-19T00:00:00"/>
    <n v="799.96"/>
  </r>
  <r>
    <s v="TRX0077"/>
    <x v="75"/>
    <x v="29"/>
    <s v="Daniel King"/>
    <s v="P010"/>
    <x v="8"/>
    <x v="0"/>
    <n v="5"/>
    <n v="89.99"/>
    <s v="Credit Card"/>
    <s v="East"/>
    <s v="Premium"/>
    <d v="2021-09-07T00:00:00"/>
    <n v="449.95"/>
  </r>
  <r>
    <s v="TRX0111"/>
    <x v="75"/>
    <x v="44"/>
    <s v="William White"/>
    <s v="P003"/>
    <x v="3"/>
    <x v="0"/>
    <n v="1"/>
    <n v="149.99"/>
    <s v="PayPal"/>
    <s v="East"/>
    <s v="Standard"/>
    <d v="2021-10-13T00:00:00"/>
    <n v="149.99"/>
  </r>
  <r>
    <s v="TRX0123"/>
    <x v="75"/>
    <x v="10"/>
    <s v="Peter Richardson"/>
    <s v="P002"/>
    <x v="5"/>
    <x v="0"/>
    <n v="4"/>
    <n v="699.99"/>
    <s v="PayPal"/>
    <s v="South"/>
    <s v="Basic"/>
    <d v="2022-02-26T00:00:00"/>
    <n v="2799.96"/>
  </r>
  <r>
    <s v="TRX0177"/>
    <x v="76"/>
    <x v="42"/>
    <s v="Sandra Phillips"/>
    <s v="P001"/>
    <x v="4"/>
    <x v="0"/>
    <n v="3"/>
    <n v="899.99"/>
    <s v="Credit Card"/>
    <s v="North"/>
    <s v="Standard"/>
    <d v="2023-08-19T00:00:00"/>
    <n v="2699.97"/>
  </r>
  <r>
    <s v="TRX0119"/>
    <x v="77"/>
    <x v="21"/>
    <s v="Linda Martin"/>
    <s v="P008"/>
    <x v="2"/>
    <x v="2"/>
    <n v="3"/>
    <n v="149.99"/>
    <s v="PayPal"/>
    <s v="East"/>
    <s v="Basic"/>
    <d v="2022-11-21T00:00:00"/>
    <n v="449.97"/>
  </r>
  <r>
    <s v="TRX0181"/>
    <x v="78"/>
    <x v="18"/>
    <s v="Patricia Moore"/>
    <s v="P007"/>
    <x v="6"/>
    <x v="2"/>
    <n v="2"/>
    <n v="299.99"/>
    <s v="Debit Card"/>
    <s v="Central"/>
    <s v="Basic"/>
    <d v="2022-01-08T00:00:00"/>
    <n v="599.98"/>
  </r>
  <r>
    <s v="TRX0129"/>
    <x v="79"/>
    <x v="45"/>
    <s v="Richard Lee"/>
    <s v="P006"/>
    <x v="9"/>
    <x v="2"/>
    <n v="1"/>
    <n v="199.99"/>
    <s v="Debit Card"/>
    <s v="East"/>
    <s v="Standard"/>
    <d v="2023-01-27T00:00:00"/>
    <n v="199.99"/>
  </r>
  <r>
    <s v="TRX0174"/>
    <x v="80"/>
    <x v="4"/>
    <s v="Michael Brown"/>
    <s v="P007"/>
    <x v="6"/>
    <x v="2"/>
    <n v="4"/>
    <n v="299.99"/>
    <s v="Cash"/>
    <s v="Central"/>
    <s v="Premium"/>
    <d v="2021-09-21T00:00:00"/>
    <n v="1199.96"/>
  </r>
  <r>
    <s v="TRX0146"/>
    <x v="81"/>
    <x v="15"/>
    <s v="Maria Garcia"/>
    <s v="P005"/>
    <x v="1"/>
    <x v="1"/>
    <n v="2"/>
    <n v="59.99"/>
    <s v="Credit Card"/>
    <s v="Central"/>
    <s v="Basic"/>
    <d v="2022-01-18T00:00:00"/>
    <n v="119.98"/>
  </r>
  <r>
    <s v="TRX0203"/>
    <x v="81"/>
    <x v="42"/>
    <s v="Sandra Phillips"/>
    <s v="P003"/>
    <x v="3"/>
    <x v="0"/>
    <n v="4"/>
    <n v="149.99"/>
    <s v="Credit Card"/>
    <s v="North"/>
    <s v="Premium"/>
    <d v="2023-05-30T00:00:00"/>
    <n v="599.96"/>
  </r>
  <r>
    <s v="TRX0055"/>
    <x v="82"/>
    <x v="39"/>
    <s v="Elizabeth Hall"/>
    <s v="P002"/>
    <x v="5"/>
    <x v="0"/>
    <n v="2"/>
    <n v="699.99"/>
    <s v="Debit Card"/>
    <s v="East"/>
    <s v="Premium"/>
    <d v="2023-12-14T00:00:00"/>
    <n v="1399.98"/>
  </r>
  <r>
    <s v="TRX0218"/>
    <x v="82"/>
    <x v="41"/>
    <s v="Carol Evans"/>
    <s v="P008"/>
    <x v="2"/>
    <x v="2"/>
    <n v="3"/>
    <n v="149.99"/>
    <s v="Credit Card"/>
    <s v="South"/>
    <s v="Standard"/>
    <d v="2023-01-14T00:00:00"/>
    <n v="449.97"/>
  </r>
  <r>
    <s v="TRX0085"/>
    <x v="83"/>
    <x v="29"/>
    <s v="Daniel King"/>
    <s v="P007"/>
    <x v="6"/>
    <x v="2"/>
    <n v="3"/>
    <n v="299.99"/>
    <s v="Credit Card"/>
    <s v="Central"/>
    <s v="Standard"/>
    <d v="2023-09-05T00:00:00"/>
    <n v="899.97"/>
  </r>
  <r>
    <s v="TRX0158"/>
    <x v="84"/>
    <x v="13"/>
    <s v="George Adams"/>
    <s v="P001"/>
    <x v="4"/>
    <x v="0"/>
    <n v="3"/>
    <n v="899.99"/>
    <s v="PayPal"/>
    <s v="West"/>
    <s v="Basic"/>
    <d v="2023-10-16T00:00:00"/>
    <n v="2699.97"/>
  </r>
  <r>
    <s v="TRX0173"/>
    <x v="85"/>
    <x v="17"/>
    <s v="Barbara Young"/>
    <s v="P002"/>
    <x v="5"/>
    <x v="0"/>
    <n v="5"/>
    <n v="699.99"/>
    <s v="Cash"/>
    <s v="East"/>
    <s v="Standard"/>
    <d v="2023-03-23T00:00:00"/>
    <n v="3499.95"/>
  </r>
  <r>
    <s v="TRX0034"/>
    <x v="85"/>
    <x v="34"/>
    <s v="Raymond Ross"/>
    <s v="P002"/>
    <x v="5"/>
    <x v="0"/>
    <n v="4"/>
    <n v="699.99"/>
    <s v="Credit Card"/>
    <s v="Central"/>
    <s v="Basic"/>
    <d v="2024-04-03T00:00:00"/>
    <n v="2799.96"/>
  </r>
  <r>
    <s v="TRX0189"/>
    <x v="85"/>
    <x v="30"/>
    <s v="Sharon Butler"/>
    <s v="P001"/>
    <x v="4"/>
    <x v="0"/>
    <n v="1"/>
    <n v="899.99"/>
    <s v="Credit Card"/>
    <s v="East"/>
    <s v="Standard"/>
    <d v="2024-03-18T00:00:00"/>
    <n v="899.99"/>
  </r>
  <r>
    <s v="TRX0190"/>
    <x v="86"/>
    <x v="40"/>
    <s v="Lawrence Reed"/>
    <s v="P003"/>
    <x v="3"/>
    <x v="0"/>
    <n v="2"/>
    <n v="149.99"/>
    <s v="Credit Card"/>
    <s v="West"/>
    <s v="Basic"/>
    <d v="2022-12-21T00:00:00"/>
    <n v="299.98"/>
  </r>
  <r>
    <s v="TRX0079"/>
    <x v="87"/>
    <x v="40"/>
    <s v="Lawrence Reed"/>
    <s v="P010"/>
    <x v="8"/>
    <x v="0"/>
    <n v="3"/>
    <n v="89.99"/>
    <s v="PayPal"/>
    <s v="Central"/>
    <s v="Basic"/>
    <d v="2021-12-21T00:00:00"/>
    <n v="269.97000000000003"/>
  </r>
  <r>
    <s v="TRX0095"/>
    <x v="88"/>
    <x v="3"/>
    <s v="Kathleen Bennett"/>
    <s v="P003"/>
    <x v="3"/>
    <x v="0"/>
    <n v="2"/>
    <n v="149.99"/>
    <s v="PayPal"/>
    <s v="Central"/>
    <s v="Basic"/>
    <d v="2021-10-04T00:00:00"/>
    <n v="299.98"/>
  </r>
  <r>
    <s v="TRX0009"/>
    <x v="88"/>
    <x v="31"/>
    <s v="Sarah Davis"/>
    <s v="P002"/>
    <x v="5"/>
    <x v="0"/>
    <n v="2"/>
    <n v="699.99"/>
    <s v="Cash"/>
    <s v="Central"/>
    <s v="Basic"/>
    <d v="2023-03-07T00:00:00"/>
    <n v="1399.98"/>
  </r>
  <r>
    <s v="TRX0167"/>
    <x v="89"/>
    <x v="32"/>
    <s v="Betty Campbell"/>
    <s v="P002"/>
    <x v="5"/>
    <x v="0"/>
    <n v="5"/>
    <n v="699.99"/>
    <s v="Cash"/>
    <s v="North"/>
    <s v="Premium"/>
    <d v="2022-03-15T00:00:00"/>
    <n v="3499.95"/>
  </r>
  <r>
    <s v="TRX0153"/>
    <x v="90"/>
    <x v="34"/>
    <s v="Raymond Ross"/>
    <s v="P010"/>
    <x v="8"/>
    <x v="0"/>
    <n v="3"/>
    <n v="89.99"/>
    <s v="Credit Card"/>
    <s v="North"/>
    <s v="Standard"/>
    <d v="2022-02-23T00:00:00"/>
    <n v="269.97000000000003"/>
  </r>
  <r>
    <s v="TRX0057"/>
    <x v="91"/>
    <x v="0"/>
    <s v="Paul Baker"/>
    <s v="P009"/>
    <x v="0"/>
    <x v="0"/>
    <n v="5"/>
    <n v="249.99"/>
    <s v="Credit Card"/>
    <s v="South"/>
    <s v="Standard"/>
    <d v="2022-11-16T00:00:00"/>
    <n v="1249.95"/>
  </r>
  <r>
    <s v="TRX0017"/>
    <x v="92"/>
    <x v="8"/>
    <s v="Karen Hill"/>
    <s v="P007"/>
    <x v="6"/>
    <x v="2"/>
    <n v="3"/>
    <n v="299.99"/>
    <s v="Credit Card"/>
    <s v="South"/>
    <s v="Standard"/>
    <d v="2021-11-02T00:00:00"/>
    <n v="899.97"/>
  </r>
  <r>
    <s v="TRX0060"/>
    <x v="93"/>
    <x v="18"/>
    <s v="Patricia Moore"/>
    <s v="P010"/>
    <x v="8"/>
    <x v="0"/>
    <n v="3"/>
    <n v="89.99"/>
    <s v="Credit Card"/>
    <s v="North"/>
    <s v="Premium"/>
    <d v="2021-08-12T00:00:00"/>
    <n v="269.97000000000003"/>
  </r>
  <r>
    <s v="TRX0109"/>
    <x v="94"/>
    <x v="15"/>
    <s v="Maria Garcia"/>
    <s v="P008"/>
    <x v="2"/>
    <x v="2"/>
    <n v="2"/>
    <n v="149.99"/>
    <s v="Credit Card"/>
    <s v="West"/>
    <s v="Premium"/>
    <d v="2022-10-14T00:00:00"/>
    <n v="299.98"/>
  </r>
  <r>
    <s v="TRX0090"/>
    <x v="95"/>
    <x v="36"/>
    <s v="Margaret Wright"/>
    <s v="P009"/>
    <x v="0"/>
    <x v="0"/>
    <n v="1"/>
    <n v="249.99"/>
    <s v="Credit Card"/>
    <s v="North"/>
    <s v="Premium"/>
    <d v="2022-09-24T00:00:00"/>
    <n v="249.99"/>
  </r>
  <r>
    <s v="TRX0035"/>
    <x v="96"/>
    <x v="10"/>
    <s v="Peter Richardson"/>
    <s v="P003"/>
    <x v="3"/>
    <x v="0"/>
    <n v="3"/>
    <n v="149.99"/>
    <s v="Cash"/>
    <s v="North"/>
    <s v="Basic"/>
    <d v="2022-07-27T00:00:00"/>
    <n v="449.97"/>
  </r>
  <r>
    <s v="TRX0172"/>
    <x v="96"/>
    <x v="0"/>
    <s v="Paul Baker"/>
    <s v="P005"/>
    <x v="1"/>
    <x v="1"/>
    <n v="5"/>
    <n v="59.99"/>
    <s v="PayPal"/>
    <s v="West"/>
    <s v="Premium"/>
    <d v="2022-05-13T00:00:00"/>
    <n v="299.95"/>
  </r>
  <r>
    <s v="TRX0076"/>
    <x v="96"/>
    <x v="18"/>
    <s v="Patricia Moore"/>
    <s v="P009"/>
    <x v="0"/>
    <x v="0"/>
    <n v="4"/>
    <n v="249.99"/>
    <s v="Credit Card"/>
    <s v="West"/>
    <s v="Standard"/>
    <d v="2022-04-08T00:00:00"/>
    <n v="999.96"/>
  </r>
  <r>
    <s v="TRX0210"/>
    <x v="97"/>
    <x v="31"/>
    <s v="Sarah Davis"/>
    <s v="P008"/>
    <x v="2"/>
    <x v="2"/>
    <n v="5"/>
    <n v="149.99"/>
    <s v="PayPal"/>
    <s v="Central"/>
    <s v="Basic"/>
    <d v="2022-12-06T00:00:00"/>
    <n v="749.95"/>
  </r>
  <r>
    <s v="TRX0149"/>
    <x v="97"/>
    <x v="13"/>
    <s v="George Adams"/>
    <s v="P005"/>
    <x v="1"/>
    <x v="1"/>
    <n v="3"/>
    <n v="59.99"/>
    <s v="Debit Card"/>
    <s v="South"/>
    <s v="Standard"/>
    <d v="2023-11-30T00:00:00"/>
    <n v="179.97"/>
  </r>
  <r>
    <s v="TRX0073"/>
    <x v="98"/>
    <x v="42"/>
    <s v="Sandra Phillips"/>
    <s v="P008"/>
    <x v="2"/>
    <x v="2"/>
    <n v="5"/>
    <n v="149.99"/>
    <s v="Cash"/>
    <s v="North"/>
    <s v="Basic"/>
    <d v="2022-11-04T00:00:00"/>
    <n v="749.95"/>
  </r>
  <r>
    <s v="TRX0033"/>
    <x v="98"/>
    <x v="14"/>
    <s v="Mark Carter"/>
    <s v="P002"/>
    <x v="5"/>
    <x v="0"/>
    <n v="2"/>
    <n v="699.99"/>
    <s v="PayPal"/>
    <s v="West"/>
    <s v="Standard"/>
    <d v="2022-07-28T00:00:00"/>
    <n v="1399.98"/>
  </r>
  <r>
    <s v="TRX0160"/>
    <x v="99"/>
    <x v="23"/>
    <s v="Edward Mitchell"/>
    <s v="P006"/>
    <x v="9"/>
    <x v="2"/>
    <n v="4"/>
    <n v="199.99"/>
    <s v="Debit Card"/>
    <s v="Central"/>
    <s v="Premium"/>
    <d v="2021-08-19T00:00:00"/>
    <n v="799.96"/>
  </r>
  <r>
    <s v="TRX0145"/>
    <x v="100"/>
    <x v="37"/>
    <s v="Frank Torres"/>
    <s v="P005"/>
    <x v="1"/>
    <x v="1"/>
    <n v="1"/>
    <n v="59.99"/>
    <s v="Debit Card"/>
    <s v="West"/>
    <s v="Standard"/>
    <d v="2021-12-30T00:00:00"/>
    <n v="59.99"/>
  </r>
  <r>
    <s v="TRX0148"/>
    <x v="100"/>
    <x v="31"/>
    <s v="Sarah Davis"/>
    <s v="P002"/>
    <x v="5"/>
    <x v="0"/>
    <n v="3"/>
    <n v="699.99"/>
    <s v="PayPal"/>
    <s v="West"/>
    <s v="Standard"/>
    <d v="2022-01-22T00:00:00"/>
    <n v="2099.9699999999998"/>
  </r>
  <r>
    <s v="TRX0012"/>
    <x v="101"/>
    <x v="46"/>
    <s v="Douglas Watson"/>
    <s v="P009"/>
    <x v="0"/>
    <x v="0"/>
    <n v="5"/>
    <n v="249.99"/>
    <s v="Credit Card"/>
    <s v="North"/>
    <s v="Basic"/>
    <d v="2022-11-08T00:00:00"/>
    <n v="1249.95"/>
  </r>
  <r>
    <s v="TRX0206"/>
    <x v="102"/>
    <x v="21"/>
    <s v="Linda Martin"/>
    <s v="P008"/>
    <x v="2"/>
    <x v="2"/>
    <n v="2"/>
    <n v="149.99"/>
    <s v="Cash"/>
    <s v="South"/>
    <s v="Standard"/>
    <d v="2023-06-24T00:00:00"/>
    <n v="299.98"/>
  </r>
  <r>
    <s v="TRX0045"/>
    <x v="103"/>
    <x v="2"/>
    <s v="Kevin Scott"/>
    <s v="P007"/>
    <x v="6"/>
    <x v="2"/>
    <n v="3"/>
    <n v="299.99"/>
    <s v="Cash"/>
    <s v="South"/>
    <s v="Premium"/>
    <d v="2022-04-08T00:00:00"/>
    <n v="899.97"/>
  </r>
  <r>
    <s v="TRX0094"/>
    <x v="103"/>
    <x v="6"/>
    <s v="Charles Allen"/>
    <s v="P009"/>
    <x v="0"/>
    <x v="0"/>
    <n v="5"/>
    <n v="249.99"/>
    <s v="Cash"/>
    <s v="Central"/>
    <s v="Premium"/>
    <d v="2021-10-16T00:00:00"/>
    <n v="1249.95"/>
  </r>
  <r>
    <s v="TRX0133"/>
    <x v="103"/>
    <x v="1"/>
    <s v="Joseph Jackson"/>
    <s v="P003"/>
    <x v="3"/>
    <x v="0"/>
    <n v="2"/>
    <n v="149.99"/>
    <s v="Cash"/>
    <s v="South"/>
    <s v="Premium"/>
    <d v="2021-10-06T00:00:00"/>
    <n v="299.98"/>
  </r>
  <r>
    <s v="TRX0201"/>
    <x v="103"/>
    <x v="14"/>
    <s v="Mark Carter"/>
    <s v="P002"/>
    <x v="5"/>
    <x v="0"/>
    <n v="5"/>
    <n v="699.99"/>
    <s v="Debit Card"/>
    <s v="West"/>
    <s v="Standard"/>
    <d v="2023-01-18T00:00:00"/>
    <n v="3499.95"/>
  </r>
  <r>
    <s v="TRX0137"/>
    <x v="104"/>
    <x v="44"/>
    <s v="William White"/>
    <s v="P009"/>
    <x v="0"/>
    <x v="0"/>
    <n v="4"/>
    <n v="249.99"/>
    <s v="PayPal"/>
    <s v="East"/>
    <s v="Premium"/>
    <d v="2023-06-21T00:00:00"/>
    <n v="999.96"/>
  </r>
  <r>
    <s v="TRX0066"/>
    <x v="105"/>
    <x v="5"/>
    <s v="Dorothy Nelson"/>
    <s v="P002"/>
    <x v="5"/>
    <x v="0"/>
    <n v="4"/>
    <n v="699.99"/>
    <s v="Credit Card"/>
    <s v="North"/>
    <s v="Premium"/>
    <d v="2022-05-22T00:00:00"/>
    <n v="2799.96"/>
  </r>
  <r>
    <s v="TRX0180"/>
    <x v="106"/>
    <x v="20"/>
    <s v="Nancy Collins"/>
    <s v="P009"/>
    <x v="0"/>
    <x v="0"/>
    <n v="2"/>
    <n v="249.99"/>
    <s v="Credit Card"/>
    <s v="Central"/>
    <s v="Premium"/>
    <d v="2021-07-19T00:00:00"/>
    <n v="499.98"/>
  </r>
  <r>
    <s v="TRX0082"/>
    <x v="106"/>
    <x v="47"/>
    <s v="James Johnson"/>
    <s v="P005"/>
    <x v="1"/>
    <x v="1"/>
    <n v="3"/>
    <n v="59.99"/>
    <s v="Cash"/>
    <s v="Central"/>
    <s v="Premium"/>
    <d v="2023-05-06T00:00:00"/>
    <n v="179.97"/>
  </r>
  <r>
    <s v="TRX0036"/>
    <x v="106"/>
    <x v="27"/>
    <s v="Jennifer Taylor"/>
    <s v="P004"/>
    <x v="7"/>
    <x v="1"/>
    <n v="4"/>
    <n v="79.989999999999995"/>
    <s v="Debit Card"/>
    <s v="East"/>
    <s v="Standard"/>
    <d v="2022-12-26T00:00:00"/>
    <n v="319.95999999999998"/>
  </r>
  <r>
    <s v="TRX0198"/>
    <x v="107"/>
    <x v="22"/>
    <s v="Helen Roberts"/>
    <s v="P004"/>
    <x v="7"/>
    <x v="1"/>
    <n v="3"/>
    <n v="79.989999999999995"/>
    <s v="Debit Card"/>
    <s v="East"/>
    <s v="Standard"/>
    <d v="2022-08-06T00:00:00"/>
    <n v="239.97"/>
  </r>
  <r>
    <s v="TRX0032"/>
    <x v="108"/>
    <x v="10"/>
    <s v="Peter Richardson"/>
    <s v="P001"/>
    <x v="4"/>
    <x v="0"/>
    <n v="2"/>
    <n v="899.99"/>
    <s v="Cash"/>
    <s v="North"/>
    <s v="Basic"/>
    <d v="2021-07-29T00:00:00"/>
    <n v="1799.98"/>
  </r>
  <r>
    <s v="TRX0081"/>
    <x v="109"/>
    <x v="35"/>
    <s v="David Martinez"/>
    <s v="P008"/>
    <x v="2"/>
    <x v="2"/>
    <n v="1"/>
    <n v="149.99"/>
    <s v="Debit Card"/>
    <s v="East"/>
    <s v="Standard"/>
    <d v="2023-10-01T00:00:00"/>
    <n v="149.99"/>
  </r>
  <r>
    <s v="TRX0224"/>
    <x v="109"/>
    <x v="26"/>
    <s v="Steven Turner"/>
    <s v="P007"/>
    <x v="6"/>
    <x v="2"/>
    <n v="2"/>
    <n v="299.99"/>
    <s v="Cash"/>
    <s v="East"/>
    <s v="Premium"/>
    <d v="2022-06-12T00:00:00"/>
    <n v="599.98"/>
  </r>
  <r>
    <s v="TRX0028"/>
    <x v="110"/>
    <x v="25"/>
    <s v="Emma Wilson"/>
    <s v="P005"/>
    <x v="1"/>
    <x v="1"/>
    <n v="2"/>
    <n v="59.99"/>
    <s v="Cash"/>
    <s v="West"/>
    <s v="Basic"/>
    <d v="2023-09-22T00:00:00"/>
    <n v="119.98"/>
  </r>
  <r>
    <s v="TRX0183"/>
    <x v="111"/>
    <x v="35"/>
    <s v="David Martinez"/>
    <s v="P010"/>
    <x v="8"/>
    <x v="0"/>
    <n v="1"/>
    <n v="89.99"/>
    <s v="Debit Card"/>
    <s v="Central"/>
    <s v="Standard"/>
    <d v="2022-07-18T00:00:00"/>
    <n v="89.99"/>
  </r>
  <r>
    <s v="TRX0163"/>
    <x v="111"/>
    <x v="29"/>
    <s v="Daniel King"/>
    <s v="P001"/>
    <x v="4"/>
    <x v="0"/>
    <n v="5"/>
    <n v="899.99"/>
    <s v="Debit Card"/>
    <s v="East"/>
    <s v="Standard"/>
    <d v="2022-03-05T00:00:00"/>
    <n v="4499.95"/>
  </r>
  <r>
    <s v="TRX0046"/>
    <x v="112"/>
    <x v="4"/>
    <s v="Michael Brown"/>
    <s v="P008"/>
    <x v="2"/>
    <x v="2"/>
    <n v="2"/>
    <n v="149.99"/>
    <s v="Cash"/>
    <s v="South"/>
    <s v="Basic"/>
    <d v="2023-11-09T00:00:00"/>
    <n v="299.98"/>
  </r>
  <r>
    <s v="TRX0164"/>
    <x v="113"/>
    <x v="21"/>
    <s v="Linda Martin"/>
    <s v="P003"/>
    <x v="3"/>
    <x v="0"/>
    <n v="2"/>
    <n v="149.99"/>
    <s v="Debit Card"/>
    <s v="West"/>
    <s v="Premium"/>
    <d v="2023-12-20T00:00:00"/>
    <n v="299.98"/>
  </r>
  <r>
    <s v="TRX0008"/>
    <x v="113"/>
    <x v="35"/>
    <s v="David Martinez"/>
    <s v="P008"/>
    <x v="2"/>
    <x v="2"/>
    <n v="3"/>
    <n v="149.99"/>
    <s v="Debit Card"/>
    <s v="North"/>
    <s v="Standard"/>
    <d v="2021-11-22T00:00:00"/>
    <n v="449.97"/>
  </r>
  <r>
    <s v="TRX0171"/>
    <x v="114"/>
    <x v="2"/>
    <s v="Kevin Scott"/>
    <s v="P007"/>
    <x v="6"/>
    <x v="2"/>
    <n v="2"/>
    <n v="299.99"/>
    <s v="PayPal"/>
    <s v="South"/>
    <s v="Basic"/>
    <d v="2022-06-09T00:00:00"/>
    <n v="599.98"/>
  </r>
  <r>
    <s v="TRX0143"/>
    <x v="115"/>
    <x v="4"/>
    <s v="Michael Brown"/>
    <s v="P007"/>
    <x v="6"/>
    <x v="2"/>
    <n v="2"/>
    <n v="299.99"/>
    <s v="Cash"/>
    <s v="West"/>
    <s v="Basic"/>
    <d v="2022-07-29T00:00:00"/>
    <n v="599.98"/>
  </r>
  <r>
    <s v="TRX0165"/>
    <x v="115"/>
    <x v="22"/>
    <s v="Helen Roberts"/>
    <s v="P006"/>
    <x v="9"/>
    <x v="2"/>
    <n v="4"/>
    <n v="199.99"/>
    <s v="Credit Card"/>
    <s v="Central"/>
    <s v="Basic"/>
    <d v="2021-11-23T00:00:00"/>
    <n v="799.96"/>
  </r>
  <r>
    <s v="TRX0156"/>
    <x v="116"/>
    <x v="7"/>
    <s v="Robert Thomas"/>
    <s v="P010"/>
    <x v="8"/>
    <x v="0"/>
    <n v="1"/>
    <n v="89.99"/>
    <s v="Credit Card"/>
    <s v="South"/>
    <s v="Premium"/>
    <d v="2022-01-30T00:00:00"/>
    <n v="89.99"/>
  </r>
  <r>
    <s v="TRX0147"/>
    <x v="116"/>
    <x v="20"/>
    <s v="Nancy Collins"/>
    <s v="P008"/>
    <x v="2"/>
    <x v="2"/>
    <n v="5"/>
    <n v="149.99"/>
    <s v="Cash"/>
    <s v="Central"/>
    <s v="Premium"/>
    <d v="2024-02-25T00:00:00"/>
    <n v="749.95"/>
  </r>
  <r>
    <s v="TRX0207"/>
    <x v="117"/>
    <x v="14"/>
    <s v="Mark Carter"/>
    <s v="P001"/>
    <x v="4"/>
    <x v="0"/>
    <n v="1"/>
    <n v="899.99"/>
    <s v="PayPal"/>
    <s v="North"/>
    <s v="Premium"/>
    <d v="2023-05-04T00:00:00"/>
    <n v="899.99"/>
  </r>
  <r>
    <s v="TRX0056"/>
    <x v="118"/>
    <x v="29"/>
    <s v="Daniel King"/>
    <s v="P010"/>
    <x v="8"/>
    <x v="0"/>
    <n v="2"/>
    <n v="89.99"/>
    <s v="Credit Card"/>
    <s v="South"/>
    <s v="Premium"/>
    <d v="2022-01-03T00:00:00"/>
    <n v="179.98"/>
  </r>
  <r>
    <s v="TRX0026"/>
    <x v="119"/>
    <x v="48"/>
    <s v="Arthur Edwards"/>
    <s v="P001"/>
    <x v="4"/>
    <x v="0"/>
    <n v="1"/>
    <n v="899.99"/>
    <s v="PayPal"/>
    <s v="North"/>
    <s v="Standard"/>
    <d v="2022-07-10T00:00:00"/>
    <n v="899.99"/>
  </r>
  <r>
    <s v="TRX0237"/>
    <x v="120"/>
    <x v="24"/>
    <s v="Lisa Anderson"/>
    <s v="P003"/>
    <x v="3"/>
    <x v="0"/>
    <n v="5"/>
    <n v="149.99"/>
    <s v="PayPal"/>
    <s v="East"/>
    <s v="Premium"/>
    <d v="2022-09-20T00:00:00"/>
    <n v="749.95"/>
  </r>
  <r>
    <s v="TRX0091"/>
    <x v="120"/>
    <x v="4"/>
    <s v="Michael Brown"/>
    <s v="P007"/>
    <x v="6"/>
    <x v="2"/>
    <n v="3"/>
    <n v="299.99"/>
    <s v="Cash"/>
    <s v="South"/>
    <s v="Standard"/>
    <d v="2021-08-14T00:00:00"/>
    <n v="899.97"/>
  </r>
  <r>
    <s v="TRX0125"/>
    <x v="121"/>
    <x v="8"/>
    <s v="Karen Hill"/>
    <s v="P002"/>
    <x v="5"/>
    <x v="0"/>
    <n v="3"/>
    <n v="699.99"/>
    <s v="Credit Card"/>
    <s v="Central"/>
    <s v="Premium"/>
    <d v="2023-06-28T00:00:00"/>
    <n v="2099.9699999999998"/>
  </r>
  <r>
    <s v="TRX0223"/>
    <x v="122"/>
    <x v="20"/>
    <s v="Nancy Collins"/>
    <s v="P006"/>
    <x v="9"/>
    <x v="2"/>
    <n v="5"/>
    <n v="199.99"/>
    <s v="PayPal"/>
    <s v="Central"/>
    <s v="Standard"/>
    <d v="2022-03-13T00:00:00"/>
    <n v="999.95"/>
  </r>
  <r>
    <s v="TRX0243"/>
    <x v="122"/>
    <x v="16"/>
    <s v="Virginia Sanders"/>
    <s v="P009"/>
    <x v="0"/>
    <x v="0"/>
    <n v="5"/>
    <n v="249.99"/>
    <s v="Credit Card"/>
    <s v="South"/>
    <s v="Basic"/>
    <d v="2024-02-08T00:00:00"/>
    <n v="1249.95"/>
  </r>
  <r>
    <s v="TRX0084"/>
    <x v="123"/>
    <x v="26"/>
    <s v="Steven Turner"/>
    <s v="P003"/>
    <x v="3"/>
    <x v="0"/>
    <n v="4"/>
    <n v="149.99"/>
    <s v="Debit Card"/>
    <s v="East"/>
    <s v="Standard"/>
    <d v="2021-12-06T00:00:00"/>
    <n v="599.96"/>
  </r>
  <r>
    <s v="TRX0238"/>
    <x v="123"/>
    <x v="12"/>
    <s v="Michelle Rogers"/>
    <s v="P002"/>
    <x v="5"/>
    <x v="0"/>
    <n v="3"/>
    <n v="699.99"/>
    <s v="Cash"/>
    <s v="North"/>
    <s v="Premium"/>
    <d v="2022-02-10T00:00:00"/>
    <n v="2099.9699999999998"/>
  </r>
  <r>
    <s v="TRX0102"/>
    <x v="124"/>
    <x v="46"/>
    <s v="Douglas Watson"/>
    <s v="P004"/>
    <x v="7"/>
    <x v="1"/>
    <n v="1"/>
    <n v="79.989999999999995"/>
    <s v="Credit Card"/>
    <s v="South"/>
    <s v="Basic"/>
    <d v="2024-01-31T00:00:00"/>
    <n v="79.989999999999995"/>
  </r>
  <r>
    <s v="TRX0022"/>
    <x v="124"/>
    <x v="14"/>
    <s v="Mark Carter"/>
    <s v="P007"/>
    <x v="6"/>
    <x v="2"/>
    <n v="1"/>
    <n v="299.99"/>
    <s v="Credit Card"/>
    <s v="North"/>
    <s v="Basic"/>
    <d v="2021-08-28T00:00:00"/>
    <n v="299.99"/>
  </r>
  <r>
    <s v="TRX0087"/>
    <x v="125"/>
    <x v="32"/>
    <s v="Betty Campbell"/>
    <s v="P009"/>
    <x v="0"/>
    <x v="0"/>
    <n v="4"/>
    <n v="249.99"/>
    <s v="Credit Card"/>
    <s v="North"/>
    <s v="Premium"/>
    <d v="2021-09-21T00:00:00"/>
    <n v="999.96"/>
  </r>
  <r>
    <s v="TRX0107"/>
    <x v="125"/>
    <x v="22"/>
    <s v="Helen Roberts"/>
    <s v="P003"/>
    <x v="3"/>
    <x v="0"/>
    <n v="2"/>
    <n v="149.99"/>
    <s v="Cash"/>
    <s v="North"/>
    <s v="Standard"/>
    <d v="2022-12-18T00:00:00"/>
    <n v="299.98"/>
  </r>
  <r>
    <s v="TRX0051"/>
    <x v="125"/>
    <x v="42"/>
    <s v="Sandra Phillips"/>
    <s v="P007"/>
    <x v="6"/>
    <x v="2"/>
    <n v="3"/>
    <n v="299.99"/>
    <s v="Credit Card"/>
    <s v="South"/>
    <s v="Basic"/>
    <d v="2023-10-05T00:00:00"/>
    <n v="899.97"/>
  </r>
  <r>
    <s v="TRX0106"/>
    <x v="126"/>
    <x v="40"/>
    <s v="Lawrence Reed"/>
    <s v="P006"/>
    <x v="9"/>
    <x v="2"/>
    <n v="4"/>
    <n v="199.99"/>
    <s v="Debit Card"/>
    <s v="South"/>
    <s v="Standard"/>
    <d v="2021-12-14T00:00:00"/>
    <n v="799.96"/>
  </r>
  <r>
    <s v="TRX0059"/>
    <x v="126"/>
    <x v="39"/>
    <s v="Elizabeth Hall"/>
    <s v="P007"/>
    <x v="6"/>
    <x v="2"/>
    <n v="5"/>
    <n v="299.99"/>
    <s v="Debit Card"/>
    <s v="Central"/>
    <s v="Basic"/>
    <d v="2021-08-23T00:00:00"/>
    <n v="1499.95"/>
  </r>
  <r>
    <s v="TRX0072"/>
    <x v="126"/>
    <x v="7"/>
    <s v="Robert Thomas"/>
    <s v="P008"/>
    <x v="2"/>
    <x v="2"/>
    <n v="3"/>
    <n v="149.99"/>
    <s v="Credit Card"/>
    <s v="East"/>
    <s v="Standard"/>
    <d v="2021-07-18T00:00:00"/>
    <n v="449.97"/>
  </r>
  <r>
    <s v="TRX0110"/>
    <x v="127"/>
    <x v="24"/>
    <s v="Lisa Anderson"/>
    <s v="P005"/>
    <x v="1"/>
    <x v="1"/>
    <n v="5"/>
    <n v="59.99"/>
    <s v="Debit Card"/>
    <s v="East"/>
    <s v="Basic"/>
    <d v="2022-03-22T00:00:00"/>
    <n v="299.95"/>
  </r>
  <r>
    <s v="TRX0126"/>
    <x v="128"/>
    <x v="9"/>
    <s v="Susan Green"/>
    <s v="P005"/>
    <x v="1"/>
    <x v="1"/>
    <n v="4"/>
    <n v="59.99"/>
    <s v="Debit Card"/>
    <s v="East"/>
    <s v="Standard"/>
    <d v="2022-01-03T00:00:00"/>
    <n v="239.96"/>
  </r>
  <r>
    <s v="TRX0159"/>
    <x v="129"/>
    <x v="5"/>
    <s v="Dorothy Nelson"/>
    <s v="P009"/>
    <x v="0"/>
    <x v="0"/>
    <n v="4"/>
    <n v="249.99"/>
    <s v="Debit Card"/>
    <s v="Central"/>
    <s v="Premium"/>
    <d v="2023-10-18T00:00:00"/>
    <n v="999.96"/>
  </r>
  <r>
    <s v="TRX0030"/>
    <x v="130"/>
    <x v="44"/>
    <s v="William White"/>
    <s v="P001"/>
    <x v="4"/>
    <x v="0"/>
    <n v="4"/>
    <n v="899.99"/>
    <s v="PayPal"/>
    <s v="Central"/>
    <s v="Basic"/>
    <d v="2022-06-22T00:00:00"/>
    <n v="3599.96"/>
  </r>
  <r>
    <s v="TRX0178"/>
    <x v="130"/>
    <x v="14"/>
    <s v="Mark Carter"/>
    <s v="P007"/>
    <x v="6"/>
    <x v="2"/>
    <n v="3"/>
    <n v="299.99"/>
    <s v="Debit Card"/>
    <s v="West"/>
    <s v="Standard"/>
    <d v="2023-01-26T00:00:00"/>
    <n v="899.97"/>
  </r>
  <r>
    <s v="TRX0188"/>
    <x v="130"/>
    <x v="46"/>
    <s v="Douglas Watson"/>
    <s v="P002"/>
    <x v="5"/>
    <x v="0"/>
    <n v="2"/>
    <n v="699.99"/>
    <s v="Debit Card"/>
    <s v="Central"/>
    <s v="Premium"/>
    <d v="2022-04-30T00:00:00"/>
    <n v="1399.98"/>
  </r>
  <r>
    <s v="TRX0010"/>
    <x v="131"/>
    <x v="8"/>
    <s v="Karen Hill"/>
    <s v="P002"/>
    <x v="5"/>
    <x v="0"/>
    <n v="4"/>
    <n v="699.99"/>
    <s v="Debit Card"/>
    <s v="West"/>
    <s v="Premium"/>
    <d v="2022-05-11T00:00:00"/>
    <n v="2799.96"/>
  </r>
  <r>
    <s v="TRX0069"/>
    <x v="131"/>
    <x v="23"/>
    <s v="Edward Mitchell"/>
    <s v="P010"/>
    <x v="8"/>
    <x v="0"/>
    <n v="2"/>
    <n v="89.99"/>
    <s v="Debit Card"/>
    <s v="South"/>
    <s v="Basic"/>
    <d v="2022-08-04T00:00:00"/>
    <n v="179.98"/>
  </r>
  <r>
    <s v="TRX0166"/>
    <x v="131"/>
    <x v="4"/>
    <s v="Michael Brown"/>
    <s v="P010"/>
    <x v="8"/>
    <x v="0"/>
    <n v="3"/>
    <n v="89.99"/>
    <s v="Debit Card"/>
    <s v="South"/>
    <s v="Premium"/>
    <d v="2024-01-16T00:00:00"/>
    <n v="269.97000000000003"/>
  </r>
  <r>
    <s v="TRX0219"/>
    <x v="132"/>
    <x v="48"/>
    <s v="Arthur Edwards"/>
    <s v="P005"/>
    <x v="1"/>
    <x v="1"/>
    <n v="1"/>
    <n v="59.99"/>
    <s v="Debit Card"/>
    <s v="Central"/>
    <s v="Standard"/>
    <d v="2023-04-29T00:00:00"/>
    <n v="59.99"/>
  </r>
  <r>
    <s v="TRX0024"/>
    <x v="133"/>
    <x v="43"/>
    <s v="Ruth Brooks"/>
    <s v="P008"/>
    <x v="2"/>
    <x v="2"/>
    <n v="3"/>
    <n v="149.99"/>
    <s v="Debit Card"/>
    <s v="North"/>
    <s v="Premium"/>
    <d v="2022-01-03T00:00:00"/>
    <n v="449.97"/>
  </r>
  <r>
    <s v="TRX0105"/>
    <x v="133"/>
    <x v="16"/>
    <s v="Virginia Sanders"/>
    <s v="P007"/>
    <x v="6"/>
    <x v="2"/>
    <n v="5"/>
    <n v="299.99"/>
    <s v="Credit Card"/>
    <s v="South"/>
    <s v="Basic"/>
    <d v="2023-02-02T00:00:00"/>
    <n v="1499.95"/>
  </r>
  <r>
    <s v="TRX0011"/>
    <x v="134"/>
    <x v="30"/>
    <s v="Sharon Butler"/>
    <s v="P005"/>
    <x v="1"/>
    <x v="1"/>
    <n v="5"/>
    <n v="59.99"/>
    <s v="Debit Card"/>
    <s v="Central"/>
    <s v="Standard"/>
    <d v="2023-09-08T00:00:00"/>
    <n v="299.95"/>
  </r>
  <r>
    <s v="TRX0187"/>
    <x v="135"/>
    <x v="20"/>
    <s v="Nancy Collins"/>
    <s v="P004"/>
    <x v="7"/>
    <x v="1"/>
    <n v="3"/>
    <n v="79.989999999999995"/>
    <s v="Cash"/>
    <s v="East"/>
    <s v="Premium"/>
    <d v="2021-08-28T00:00:00"/>
    <n v="239.97"/>
  </r>
  <r>
    <s v="TRX0089"/>
    <x v="136"/>
    <x v="2"/>
    <s v="Kevin Scott"/>
    <s v="P006"/>
    <x v="9"/>
    <x v="2"/>
    <n v="3"/>
    <n v="199.99"/>
    <s v="Cash"/>
    <s v="Central"/>
    <s v="Basic"/>
    <d v="2022-06-23T00:00:00"/>
    <n v="599.97"/>
  </r>
  <r>
    <s v="TRX0196"/>
    <x v="136"/>
    <x v="0"/>
    <s v="Paul Baker"/>
    <s v="P010"/>
    <x v="8"/>
    <x v="0"/>
    <n v="2"/>
    <n v="89.99"/>
    <s v="PayPal"/>
    <s v="Central"/>
    <s v="Basic"/>
    <d v="2023-11-27T00:00:00"/>
    <n v="179.98"/>
  </r>
  <r>
    <s v="TRX0118"/>
    <x v="137"/>
    <x v="45"/>
    <s v="Richard Lee"/>
    <s v="P008"/>
    <x v="2"/>
    <x v="2"/>
    <n v="2"/>
    <n v="149.99"/>
    <s v="Cash"/>
    <s v="South"/>
    <s v="Premium"/>
    <d v="2022-06-16T00:00:00"/>
    <n v="299.98"/>
  </r>
  <r>
    <s v="TRX0179"/>
    <x v="138"/>
    <x v="23"/>
    <s v="Edward Mitchell"/>
    <s v="P002"/>
    <x v="5"/>
    <x v="0"/>
    <n v="5"/>
    <n v="699.99"/>
    <s v="PayPal"/>
    <s v="South"/>
    <s v="Premium"/>
    <d v="2024-03-01T00:00:00"/>
    <n v="3499.95"/>
  </r>
  <r>
    <s v="TRX0168"/>
    <x v="138"/>
    <x v="4"/>
    <s v="Michael Brown"/>
    <s v="P008"/>
    <x v="2"/>
    <x v="2"/>
    <n v="3"/>
    <n v="149.99"/>
    <s v="PayPal"/>
    <s v="Central"/>
    <s v="Standard"/>
    <d v="2022-03-13T00:00:00"/>
    <n v="449.97"/>
  </r>
  <r>
    <s v="TRX0214"/>
    <x v="139"/>
    <x v="17"/>
    <s v="Barbara Young"/>
    <s v="P001"/>
    <x v="4"/>
    <x v="0"/>
    <n v="3"/>
    <n v="899.99"/>
    <s v="Cash"/>
    <s v="East"/>
    <s v="Standard"/>
    <d v="2022-02-21T00:00:00"/>
    <n v="2699.97"/>
  </r>
  <r>
    <s v="TRX0221"/>
    <x v="139"/>
    <x v="37"/>
    <s v="Frank Torres"/>
    <s v="P006"/>
    <x v="9"/>
    <x v="2"/>
    <n v="3"/>
    <n v="199.99"/>
    <s v="Cash"/>
    <s v="West"/>
    <s v="Premium"/>
    <d v="2022-09-19T00:00:00"/>
    <n v="599.97"/>
  </r>
  <r>
    <s v="TRX0083"/>
    <x v="140"/>
    <x v="6"/>
    <s v="Charles Allen"/>
    <s v="P007"/>
    <x v="6"/>
    <x v="2"/>
    <n v="5"/>
    <n v="299.99"/>
    <s v="Cash"/>
    <s v="West"/>
    <s v="Standard"/>
    <d v="2023-08-04T00:00:00"/>
    <n v="1499.95"/>
  </r>
  <r>
    <s v="TRX0151"/>
    <x v="140"/>
    <x v="30"/>
    <s v="Sharon Butler"/>
    <s v="P002"/>
    <x v="5"/>
    <x v="0"/>
    <n v="1"/>
    <n v="699.99"/>
    <s v="PayPal"/>
    <s v="West"/>
    <s v="Basic"/>
    <d v="2023-01-08T00:00:00"/>
    <n v="699.99"/>
  </r>
  <r>
    <s v="TRX0047"/>
    <x v="141"/>
    <x v="43"/>
    <s v="Ruth Brooks"/>
    <s v="P002"/>
    <x v="5"/>
    <x v="0"/>
    <n v="1"/>
    <n v="699.99"/>
    <s v="Cash"/>
    <s v="North"/>
    <s v="Premium"/>
    <d v="2022-01-22T00:00:00"/>
    <n v="699.99"/>
  </r>
  <r>
    <s v="TRX0200"/>
    <x v="141"/>
    <x v="48"/>
    <s v="Arthur Edwards"/>
    <s v="P008"/>
    <x v="2"/>
    <x v="2"/>
    <n v="4"/>
    <n v="149.99"/>
    <s v="PayPal"/>
    <s v="North"/>
    <s v="Premium"/>
    <d v="2021-08-04T00:00:00"/>
    <n v="599.96"/>
  </r>
  <r>
    <s v="TRX0062"/>
    <x v="141"/>
    <x v="39"/>
    <s v="Elizabeth Hall"/>
    <s v="P010"/>
    <x v="8"/>
    <x v="0"/>
    <n v="5"/>
    <n v="89.99"/>
    <s v="PayPal"/>
    <s v="West"/>
    <s v="Premium"/>
    <d v="2023-08-02T00:00:00"/>
    <n v="449.95"/>
  </r>
  <r>
    <s v="TRX0182"/>
    <x v="142"/>
    <x v="26"/>
    <s v="Steven Turner"/>
    <s v="P006"/>
    <x v="9"/>
    <x v="2"/>
    <n v="2"/>
    <n v="199.99"/>
    <s v="Cash"/>
    <s v="Central"/>
    <s v="Premium"/>
    <d v="2022-01-12T00:00:00"/>
    <n v="399.98"/>
  </r>
  <r>
    <s v="TRX0229"/>
    <x v="143"/>
    <x v="45"/>
    <s v="Richard Lee"/>
    <s v="P005"/>
    <x v="1"/>
    <x v="1"/>
    <n v="4"/>
    <n v="59.99"/>
    <s v="Cash"/>
    <s v="West"/>
    <s v="Standard"/>
    <d v="2023-05-24T00:00:00"/>
    <n v="239.96"/>
  </r>
  <r>
    <s v="TRX0048"/>
    <x v="143"/>
    <x v="16"/>
    <s v="Virginia Sanders"/>
    <s v="P007"/>
    <x v="6"/>
    <x v="2"/>
    <n v="2"/>
    <n v="299.99"/>
    <s v="PayPal"/>
    <s v="South"/>
    <s v="Basic"/>
    <d v="2022-01-15T00:00:00"/>
    <n v="599.98"/>
  </r>
  <r>
    <s v="TRX0227"/>
    <x v="144"/>
    <x v="6"/>
    <s v="Charles Allen"/>
    <s v="P008"/>
    <x v="2"/>
    <x v="2"/>
    <n v="2"/>
    <n v="149.99"/>
    <s v="Cash"/>
    <s v="Central"/>
    <s v="Basic"/>
    <d v="2023-05-22T00:00:00"/>
    <n v="299.98"/>
  </r>
  <r>
    <s v="TRX0226"/>
    <x v="145"/>
    <x v="40"/>
    <s v="Lawrence Reed"/>
    <s v="P002"/>
    <x v="5"/>
    <x v="0"/>
    <n v="5"/>
    <n v="699.99"/>
    <s v="Debit Card"/>
    <s v="East"/>
    <s v="Premium"/>
    <d v="2023-08-23T00:00:00"/>
    <n v="3499.95"/>
  </r>
  <r>
    <s v="TRX0053"/>
    <x v="146"/>
    <x v="11"/>
    <s v="Dennis Gray"/>
    <s v="P005"/>
    <x v="1"/>
    <x v="1"/>
    <n v="5"/>
    <n v="59.99"/>
    <s v="Cash"/>
    <s v="West"/>
    <s v="Premium"/>
    <d v="2023-12-31T00:00:00"/>
    <n v="299.95"/>
  </r>
  <r>
    <s v="TRX0233"/>
    <x v="147"/>
    <x v="0"/>
    <s v="Paul Baker"/>
    <s v="P010"/>
    <x v="8"/>
    <x v="0"/>
    <n v="2"/>
    <n v="89.99"/>
    <s v="Credit Card"/>
    <s v="West"/>
    <s v="Premium"/>
    <d v="2024-01-04T00:00:00"/>
    <n v="179.98"/>
  </r>
  <r>
    <s v="TRX0175"/>
    <x v="147"/>
    <x v="22"/>
    <s v="Helen Roberts"/>
    <s v="P009"/>
    <x v="0"/>
    <x v="0"/>
    <n v="5"/>
    <n v="249.99"/>
    <s v="Cash"/>
    <s v="East"/>
    <s v="Standard"/>
    <d v="2021-12-10T00:00:00"/>
    <n v="1249.95"/>
  </r>
  <r>
    <s v="TRX0186"/>
    <x v="148"/>
    <x v="40"/>
    <s v="Lawrence Reed"/>
    <s v="P008"/>
    <x v="2"/>
    <x v="2"/>
    <n v="2"/>
    <n v="149.99"/>
    <s v="PayPal"/>
    <s v="Central"/>
    <s v="Premium"/>
    <d v="2022-03-12T00:00:00"/>
    <n v="299.98"/>
  </r>
  <r>
    <s v="TRX0016"/>
    <x v="148"/>
    <x v="28"/>
    <s v="Harry Morgan"/>
    <s v="P001"/>
    <x v="4"/>
    <x v="0"/>
    <n v="5"/>
    <n v="899.99"/>
    <s v="PayPal"/>
    <s v="East"/>
    <s v="Premium"/>
    <d v="2024-04-07T00:00:00"/>
    <n v="4499.95"/>
  </r>
  <r>
    <s v="TRX0199"/>
    <x v="148"/>
    <x v="6"/>
    <s v="Charles Allen"/>
    <s v="P008"/>
    <x v="2"/>
    <x v="2"/>
    <n v="4"/>
    <n v="149.99"/>
    <s v="Cash"/>
    <s v="Central"/>
    <s v="Standard"/>
    <d v="2023-12-03T00:00:00"/>
    <n v="599.96"/>
  </r>
  <r>
    <s v="TRX0038"/>
    <x v="149"/>
    <x v="28"/>
    <s v="Harry Morgan"/>
    <s v="P009"/>
    <x v="0"/>
    <x v="0"/>
    <n v="1"/>
    <n v="249.99"/>
    <s v="Cash"/>
    <s v="North"/>
    <s v="Standard"/>
    <d v="2023-07-10T00:00:00"/>
    <n v="249.99"/>
  </r>
  <r>
    <s v="TRX0014"/>
    <x v="150"/>
    <x v="37"/>
    <s v="Frank Torres"/>
    <s v="P005"/>
    <x v="1"/>
    <x v="1"/>
    <n v="2"/>
    <n v="59.99"/>
    <s v="Credit Card"/>
    <s v="West"/>
    <s v="Basic"/>
    <d v="2023-09-24T00:00:00"/>
    <n v="119.98"/>
  </r>
  <r>
    <s v="TRX0003"/>
    <x v="151"/>
    <x v="25"/>
    <s v="Emma Wilson"/>
    <s v="P008"/>
    <x v="2"/>
    <x v="2"/>
    <n v="2"/>
    <n v="149.99"/>
    <s v="Cash"/>
    <s v="West"/>
    <s v="Premium"/>
    <d v="2023-11-03T00:00:00"/>
    <n v="299.98"/>
  </r>
  <r>
    <s v="TRX0124"/>
    <x v="151"/>
    <x v="30"/>
    <s v="Sharon Butler"/>
    <s v="P001"/>
    <x v="4"/>
    <x v="0"/>
    <n v="3"/>
    <n v="899.99"/>
    <s v="Debit Card"/>
    <s v="North"/>
    <s v="Premium"/>
    <d v="2022-11-11T00:00:00"/>
    <n v="2699.97"/>
  </r>
  <r>
    <s v="TRX0013"/>
    <x v="151"/>
    <x v="5"/>
    <s v="Dorothy Nelson"/>
    <s v="P001"/>
    <x v="4"/>
    <x v="0"/>
    <n v="3"/>
    <n v="899.99"/>
    <s v="PayPal"/>
    <s v="North"/>
    <s v="Basic"/>
    <d v="2023-02-18T00:00:00"/>
    <n v="2699.97"/>
  </r>
  <r>
    <s v="TRX0019"/>
    <x v="152"/>
    <x v="0"/>
    <s v="Paul Baker"/>
    <s v="P007"/>
    <x v="6"/>
    <x v="2"/>
    <n v="3"/>
    <n v="299.99"/>
    <s v="Credit Card"/>
    <s v="West"/>
    <s v="Premium"/>
    <d v="2023-11-04T00:00:00"/>
    <n v="899.97"/>
  </r>
  <r>
    <s v="TRX0050"/>
    <x v="153"/>
    <x v="49"/>
    <s v="John Smith"/>
    <s v="P008"/>
    <x v="2"/>
    <x v="2"/>
    <n v="4"/>
    <n v="149.99"/>
    <s v="PayPal"/>
    <s v="West"/>
    <s v="Standard"/>
    <d v="2021-12-30T00:00:00"/>
    <n v="599.96"/>
  </r>
  <r>
    <s v="TRX0152"/>
    <x v="154"/>
    <x v="19"/>
    <s v="Cynthia Price"/>
    <s v="P004"/>
    <x v="7"/>
    <x v="1"/>
    <n v="4"/>
    <n v="79.989999999999995"/>
    <s v="Credit Card"/>
    <s v="Central"/>
    <s v="Basic"/>
    <d v="2023-12-28T00:00:00"/>
    <n v="319.95999999999998"/>
  </r>
  <r>
    <s v="TRX0213"/>
    <x v="155"/>
    <x v="36"/>
    <s v="Margaret Wright"/>
    <s v="P010"/>
    <x v="8"/>
    <x v="0"/>
    <n v="5"/>
    <n v="89.99"/>
    <s v="PayPal"/>
    <s v="South"/>
    <s v="Basic"/>
    <d v="2022-05-23T00:00:00"/>
    <n v="449.95"/>
  </r>
  <r>
    <s v="TRX0197"/>
    <x v="156"/>
    <x v="16"/>
    <s v="Virginia Sanders"/>
    <s v="P008"/>
    <x v="2"/>
    <x v="2"/>
    <n v="3"/>
    <n v="149.99"/>
    <s v="PayPal"/>
    <s v="Central"/>
    <s v="Standard"/>
    <d v="2023-09-02T00:00:00"/>
    <n v="449.97"/>
  </r>
  <r>
    <s v="TRX0250"/>
    <x v="156"/>
    <x v="8"/>
    <s v="Karen Hill"/>
    <s v="P010"/>
    <x v="8"/>
    <x v="0"/>
    <n v="2"/>
    <n v="89.99"/>
    <s v="Debit Card"/>
    <s v="West"/>
    <s v="Premium"/>
    <d v="2021-11-22T00:00:00"/>
    <n v="179.98"/>
  </r>
  <r>
    <s v="TRX0068"/>
    <x v="157"/>
    <x v="19"/>
    <s v="Cynthia Price"/>
    <s v="P002"/>
    <x v="5"/>
    <x v="0"/>
    <n v="2"/>
    <n v="699.99"/>
    <s v="PayPal"/>
    <s v="North"/>
    <s v="Standard"/>
    <d v="2022-02-26T00:00:00"/>
    <n v="1399.98"/>
  </r>
  <r>
    <s v="TRX0144"/>
    <x v="158"/>
    <x v="23"/>
    <s v="Edward Mitchell"/>
    <s v="P001"/>
    <x v="4"/>
    <x v="0"/>
    <n v="3"/>
    <n v="899.99"/>
    <s v="Cash"/>
    <s v="Central"/>
    <s v="Standard"/>
    <d v="2023-01-27T00:00:00"/>
    <n v="2699.97"/>
  </r>
  <r>
    <s v="TRX0039"/>
    <x v="159"/>
    <x v="16"/>
    <s v="Virginia Sanders"/>
    <s v="P004"/>
    <x v="7"/>
    <x v="1"/>
    <n v="3"/>
    <n v="79.989999999999995"/>
    <s v="Credit Card"/>
    <s v="North"/>
    <s v="Basic"/>
    <d v="2021-11-11T00:00:00"/>
    <n v="239.97"/>
  </r>
  <r>
    <s v="TRX0116"/>
    <x v="160"/>
    <x v="7"/>
    <s v="Robert Thomas"/>
    <s v="P010"/>
    <x v="8"/>
    <x v="0"/>
    <n v="1"/>
    <n v="89.99"/>
    <s v="Debit Card"/>
    <s v="East"/>
    <s v="Basic"/>
    <d v="2024-02-24T00:00:00"/>
    <n v="89.99"/>
  </r>
  <r>
    <s v="TRX0120"/>
    <x v="161"/>
    <x v="46"/>
    <s v="Douglas Watson"/>
    <s v="P002"/>
    <x v="5"/>
    <x v="0"/>
    <n v="3"/>
    <n v="699.99"/>
    <s v="PayPal"/>
    <s v="North"/>
    <s v="Basic"/>
    <d v="2022-12-14T00:00:00"/>
    <n v="2099.9699999999998"/>
  </r>
  <r>
    <s v="TRX0103"/>
    <x v="161"/>
    <x v="40"/>
    <s v="Lawrence Reed"/>
    <s v="P010"/>
    <x v="8"/>
    <x v="0"/>
    <n v="2"/>
    <n v="89.99"/>
    <s v="Debit Card"/>
    <s v="East"/>
    <s v="Basic"/>
    <d v="2023-06-11T00:00:00"/>
    <n v="179.98"/>
  </r>
  <r>
    <s v="TRX0064"/>
    <x v="161"/>
    <x v="26"/>
    <s v="Steven Turner"/>
    <s v="P010"/>
    <x v="8"/>
    <x v="0"/>
    <n v="3"/>
    <n v="89.99"/>
    <s v="Debit Card"/>
    <s v="North"/>
    <s v="Premium"/>
    <d v="2022-11-13T00:00:00"/>
    <n v="269.97000000000003"/>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aul Baker"/>
    <x v="0"/>
  </r>
  <r>
    <s v="Joseph Jackson"/>
    <x v="1"/>
  </r>
  <r>
    <s v="Kevin Scott"/>
    <x v="2"/>
  </r>
  <r>
    <s v="Kathleen Bennett"/>
    <x v="2"/>
  </r>
  <r>
    <s v="Michael Brown"/>
    <x v="3"/>
  </r>
  <r>
    <s v="Dorothy Nelson"/>
    <x v="1"/>
  </r>
  <r>
    <s v="Dorothy Nelson"/>
    <x v="0"/>
  </r>
  <r>
    <s v="Charles Allen"/>
    <x v="2"/>
  </r>
  <r>
    <s v="Robert Thomas"/>
    <x v="3"/>
  </r>
  <r>
    <s v="Karen Hill"/>
    <x v="2"/>
  </r>
  <r>
    <s v="Susan Green"/>
    <x v="2"/>
  </r>
  <r>
    <s v="Kathleen Bennett"/>
    <x v="1"/>
  </r>
  <r>
    <s v="Peter Richardson"/>
    <x v="1"/>
  </r>
  <r>
    <s v="Dennis Gray"/>
    <x v="3"/>
  </r>
  <r>
    <s v="Michelle Rogers"/>
    <x v="1"/>
  </r>
  <r>
    <s v="George Adams"/>
    <x v="1"/>
  </r>
  <r>
    <s v="Mark Carter"/>
    <x v="3"/>
  </r>
  <r>
    <s v="Maria Garcia"/>
    <x v="1"/>
  </r>
  <r>
    <s v="Mark Carter"/>
    <x v="3"/>
  </r>
  <r>
    <s v="Virginia Sanders"/>
    <x v="2"/>
  </r>
  <r>
    <s v="Barbara Young"/>
    <x v="2"/>
  </r>
  <r>
    <s v="Patricia Moore"/>
    <x v="0"/>
  </r>
  <r>
    <s v="Cynthia Price"/>
    <x v="0"/>
  </r>
  <r>
    <s v="Mark Carter"/>
    <x v="1"/>
  </r>
  <r>
    <s v="Nancy Collins"/>
    <x v="0"/>
  </r>
  <r>
    <s v="Susan Green"/>
    <x v="2"/>
  </r>
  <r>
    <s v="Linda Martin"/>
    <x v="2"/>
  </r>
  <r>
    <s v="Patricia Moore"/>
    <x v="1"/>
  </r>
  <r>
    <s v="Helen Roberts"/>
    <x v="2"/>
  </r>
  <r>
    <s v="Edward Mitchell"/>
    <x v="1"/>
  </r>
  <r>
    <s v="Charles Allen"/>
    <x v="0"/>
  </r>
  <r>
    <s v="Lisa Anderson"/>
    <x v="1"/>
  </r>
  <r>
    <s v="Emma Wilson"/>
    <x v="2"/>
  </r>
  <r>
    <s v="Kevin Scott"/>
    <x v="1"/>
  </r>
  <r>
    <s v="Patricia Moore"/>
    <x v="1"/>
  </r>
  <r>
    <s v="Lisa Anderson"/>
    <x v="2"/>
  </r>
  <r>
    <s v="Steven Turner"/>
    <x v="3"/>
  </r>
  <r>
    <s v="Jennifer Taylor"/>
    <x v="0"/>
  </r>
  <r>
    <s v="Harry Morgan"/>
    <x v="2"/>
  </r>
  <r>
    <s v="Daniel King"/>
    <x v="1"/>
  </r>
  <r>
    <s v="Sharon Butler"/>
    <x v="3"/>
  </r>
  <r>
    <s v="Charles Allen"/>
    <x v="2"/>
  </r>
  <r>
    <s v="Sarah Davis"/>
    <x v="1"/>
  </r>
  <r>
    <s v="Joseph Jackson"/>
    <x v="1"/>
  </r>
  <r>
    <s v="Betty Campbell"/>
    <x v="1"/>
  </r>
  <r>
    <s v="Michael Brown"/>
    <x v="1"/>
  </r>
  <r>
    <s v="Julie Foster"/>
    <x v="0"/>
  </r>
  <r>
    <s v="Lisa Anderson"/>
    <x v="1"/>
  </r>
  <r>
    <s v="Patricia Moore"/>
    <x v="0"/>
  </r>
  <r>
    <s v="Paul Baker"/>
    <x v="2"/>
  </r>
  <r>
    <s v="Edward Mitchell"/>
    <x v="2"/>
  </r>
  <r>
    <s v="Betty Campbell"/>
    <x v="2"/>
  </r>
  <r>
    <s v="Jennifer Taylor"/>
    <x v="2"/>
  </r>
  <r>
    <s v="Raymond Ross"/>
    <x v="2"/>
  </r>
  <r>
    <s v="Kevin Scott"/>
    <x v="3"/>
  </r>
  <r>
    <s v="Robert Thomas"/>
    <x v="0"/>
  </r>
  <r>
    <s v="Kathleen Bennett"/>
    <x v="2"/>
  </r>
  <r>
    <s v="Patricia Moore"/>
    <x v="2"/>
  </r>
  <r>
    <s v="Helen Roberts"/>
    <x v="1"/>
  </r>
  <r>
    <s v="Emma Wilson"/>
    <x v="2"/>
  </r>
  <r>
    <s v="Charles Allen"/>
    <x v="1"/>
  </r>
  <r>
    <s v="Susan Green"/>
    <x v="1"/>
  </r>
  <r>
    <s v="David Martinez"/>
    <x v="2"/>
  </r>
  <r>
    <s v="Margaret Wright"/>
    <x v="0"/>
  </r>
  <r>
    <s v="Michael Brown"/>
    <x v="3"/>
  </r>
  <r>
    <s v="Barbara Young"/>
    <x v="2"/>
  </r>
  <r>
    <s v="Raymond Ross"/>
    <x v="0"/>
  </r>
  <r>
    <s v="Joseph Jackson"/>
    <x v="1"/>
  </r>
  <r>
    <s v="Frank Torres"/>
    <x v="1"/>
  </r>
  <r>
    <s v="Frank Torres"/>
    <x v="0"/>
  </r>
  <r>
    <s v="Gerald Murphy"/>
    <x v="2"/>
  </r>
  <r>
    <s v="Peter Richardson"/>
    <x v="2"/>
  </r>
  <r>
    <s v="Karen Hill"/>
    <x v="2"/>
  </r>
  <r>
    <s v="Sharon Butler"/>
    <x v="2"/>
  </r>
  <r>
    <s v="Joseph Jackson"/>
    <x v="1"/>
  </r>
  <r>
    <s v="David Martinez"/>
    <x v="2"/>
  </r>
  <r>
    <s v="Gerald Murphy"/>
    <x v="2"/>
  </r>
  <r>
    <s v="Barbara Young"/>
    <x v="2"/>
  </r>
  <r>
    <s v="Daniel King"/>
    <x v="2"/>
  </r>
  <r>
    <s v="Mark Carter"/>
    <x v="2"/>
  </r>
  <r>
    <s v="Daniel King"/>
    <x v="1"/>
  </r>
  <r>
    <s v="Mark Carter"/>
    <x v="2"/>
  </r>
  <r>
    <s v="Helen Roberts"/>
    <x v="0"/>
  </r>
  <r>
    <s v="Elizabeth Hall"/>
    <x v="0"/>
  </r>
  <r>
    <s v="Cynthia Price"/>
    <x v="1"/>
  </r>
  <r>
    <s v="Maria Garcia"/>
    <x v="3"/>
  </r>
  <r>
    <s v="Mark Carter"/>
    <x v="2"/>
  </r>
  <r>
    <s v="David Martinez"/>
    <x v="1"/>
  </r>
  <r>
    <s v="Margaret Wright"/>
    <x v="1"/>
  </r>
  <r>
    <s v="Karen Hill"/>
    <x v="0"/>
  </r>
  <r>
    <s v="Kathleen Bennett"/>
    <x v="0"/>
  </r>
  <r>
    <s v="Betty Campbell"/>
    <x v="2"/>
  </r>
  <r>
    <s v="Mark Carter"/>
    <x v="2"/>
  </r>
  <r>
    <s v="Gerald Murphy"/>
    <x v="0"/>
  </r>
  <r>
    <s v="Nancy Collins"/>
    <x v="1"/>
  </r>
  <r>
    <s v="Cynthia Price"/>
    <x v="3"/>
  </r>
  <r>
    <s v="Lawrence Reed"/>
    <x v="1"/>
  </r>
  <r>
    <s v="Harry Morgan"/>
    <x v="1"/>
  </r>
  <r>
    <s v="Gerald Murphy"/>
    <x v="0"/>
  </r>
  <r>
    <s v="Carol Evans"/>
    <x v="2"/>
  </r>
  <r>
    <s v="Sandra Phillips"/>
    <x v="0"/>
  </r>
  <r>
    <s v="Carol Evans"/>
    <x v="1"/>
  </r>
  <r>
    <s v="Paul Baker"/>
    <x v="3"/>
  </r>
  <r>
    <s v="Lawrence Reed"/>
    <x v="1"/>
  </r>
  <r>
    <s v="Steven Turner"/>
    <x v="1"/>
  </r>
  <r>
    <s v="Emma Wilson"/>
    <x v="1"/>
  </r>
  <r>
    <s v="Jennifer Taylor"/>
    <x v="0"/>
  </r>
  <r>
    <s v="Charles Allen"/>
    <x v="1"/>
  </r>
  <r>
    <s v="Dorothy Nelson"/>
    <x v="0"/>
  </r>
  <r>
    <s v="Kathleen Bennett"/>
    <x v="1"/>
  </r>
  <r>
    <s v="Ruth Brooks"/>
    <x v="1"/>
  </r>
  <r>
    <s v="Karen Hill"/>
    <x v="2"/>
  </r>
  <r>
    <s v="Sarah Davis"/>
    <x v="0"/>
  </r>
  <r>
    <s v="Daniel King"/>
    <x v="0"/>
  </r>
  <r>
    <s v="William White"/>
    <x v="0"/>
  </r>
  <r>
    <s v="Peter Richardson"/>
    <x v="1"/>
  </r>
  <r>
    <s v="Sandra Phillips"/>
    <x v="2"/>
  </r>
  <r>
    <s v="Linda Martin"/>
    <x v="1"/>
  </r>
  <r>
    <s v="Patricia Moore"/>
    <x v="1"/>
  </r>
  <r>
    <s v="Richard Lee"/>
    <x v="2"/>
  </r>
  <r>
    <s v="Michael Brown"/>
    <x v="0"/>
  </r>
  <r>
    <s v="Maria Garcia"/>
    <x v="1"/>
  </r>
  <r>
    <s v="Sandra Phillips"/>
    <x v="2"/>
  </r>
  <r>
    <s v="Elizabeth Hall"/>
    <x v="2"/>
  </r>
  <r>
    <s v="Carol Evans"/>
    <x v="2"/>
  </r>
  <r>
    <s v="Daniel King"/>
    <x v="2"/>
  </r>
  <r>
    <s v="George Adams"/>
    <x v="2"/>
  </r>
  <r>
    <s v="Barbara Young"/>
    <x v="2"/>
  </r>
  <r>
    <s v="Raymond Ross"/>
    <x v="3"/>
  </r>
  <r>
    <s v="Sharon Butler"/>
    <x v="3"/>
  </r>
  <r>
    <s v="Lawrence Reed"/>
    <x v="1"/>
  </r>
  <r>
    <s v="Lawrence Reed"/>
    <x v="0"/>
  </r>
  <r>
    <s v="Kathleen Bennett"/>
    <x v="0"/>
  </r>
  <r>
    <s v="Sarah Davis"/>
    <x v="2"/>
  </r>
  <r>
    <s v="Betty Campbell"/>
    <x v="1"/>
  </r>
  <r>
    <s v="Raymond Ross"/>
    <x v="1"/>
  </r>
  <r>
    <s v="Paul Baker"/>
    <x v="1"/>
  </r>
  <r>
    <s v="Karen Hill"/>
    <x v="0"/>
  </r>
  <r>
    <s v="Patricia Moore"/>
    <x v="0"/>
  </r>
  <r>
    <s v="Maria Garcia"/>
    <x v="1"/>
  </r>
  <r>
    <s v="Margaret Wright"/>
    <x v="1"/>
  </r>
  <r>
    <s v="Peter Richardson"/>
    <x v="1"/>
  </r>
  <r>
    <s v="Paul Baker"/>
    <x v="1"/>
  </r>
  <r>
    <s v="Patricia Moore"/>
    <x v="1"/>
  </r>
  <r>
    <s v="Sarah Davis"/>
    <x v="1"/>
  </r>
  <r>
    <s v="George Adams"/>
    <x v="2"/>
  </r>
  <r>
    <s v="Sandra Phillips"/>
    <x v="1"/>
  </r>
  <r>
    <s v="Mark Carter"/>
    <x v="1"/>
  </r>
  <r>
    <s v="Edward Mitchell"/>
    <x v="0"/>
  </r>
  <r>
    <s v="Frank Torres"/>
    <x v="0"/>
  </r>
  <r>
    <s v="Sarah Davis"/>
    <x v="1"/>
  </r>
  <r>
    <s v="Douglas Watson"/>
    <x v="1"/>
  </r>
  <r>
    <s v="Linda Martin"/>
    <x v="2"/>
  </r>
  <r>
    <s v="Kevin Scott"/>
    <x v="1"/>
  </r>
  <r>
    <s v="Charles Allen"/>
    <x v="0"/>
  </r>
  <r>
    <s v="Joseph Jackson"/>
    <x v="0"/>
  </r>
  <r>
    <s v="Mark Carter"/>
    <x v="2"/>
  </r>
  <r>
    <s v="William White"/>
    <x v="2"/>
  </r>
  <r>
    <s v="Dorothy Nelson"/>
    <x v="1"/>
  </r>
  <r>
    <s v="Nancy Collins"/>
    <x v="0"/>
  </r>
  <r>
    <s v="James Johnson"/>
    <x v="2"/>
  </r>
  <r>
    <s v="Jennifer Taylor"/>
    <x v="1"/>
  </r>
  <r>
    <s v="Helen Roberts"/>
    <x v="1"/>
  </r>
  <r>
    <s v="Peter Richardson"/>
    <x v="0"/>
  </r>
  <r>
    <s v="David Martinez"/>
    <x v="2"/>
  </r>
  <r>
    <s v="Steven Turner"/>
    <x v="1"/>
  </r>
  <r>
    <s v="Emma Wilson"/>
    <x v="2"/>
  </r>
  <r>
    <s v="David Martinez"/>
    <x v="1"/>
  </r>
  <r>
    <s v="Daniel King"/>
    <x v="1"/>
  </r>
  <r>
    <s v="Michael Brown"/>
    <x v="2"/>
  </r>
  <r>
    <s v="Linda Martin"/>
    <x v="2"/>
  </r>
  <r>
    <s v="David Martinez"/>
    <x v="0"/>
  </r>
  <r>
    <s v="Kevin Scott"/>
    <x v="1"/>
  </r>
  <r>
    <s v="Michael Brown"/>
    <x v="1"/>
  </r>
  <r>
    <s v="Helen Roberts"/>
    <x v="0"/>
  </r>
  <r>
    <s v="Robert Thomas"/>
    <x v="1"/>
  </r>
  <r>
    <s v="Nancy Collins"/>
    <x v="3"/>
  </r>
  <r>
    <s v="Mark Carter"/>
    <x v="2"/>
  </r>
  <r>
    <s v="Daniel King"/>
    <x v="1"/>
  </r>
  <r>
    <s v="Arthur Edwards"/>
    <x v="1"/>
  </r>
  <r>
    <s v="Lisa Anderson"/>
    <x v="1"/>
  </r>
  <r>
    <s v="Michael Brown"/>
    <x v="0"/>
  </r>
  <r>
    <s v="Karen Hill"/>
    <x v="2"/>
  </r>
  <r>
    <s v="Nancy Collins"/>
    <x v="1"/>
  </r>
  <r>
    <s v="Virginia Sanders"/>
    <x v="3"/>
  </r>
  <r>
    <s v="Steven Turner"/>
    <x v="0"/>
  </r>
  <r>
    <s v="Michelle Rogers"/>
    <x v="1"/>
  </r>
  <r>
    <s v="Douglas Watson"/>
    <x v="3"/>
  </r>
  <r>
    <s v="Mark Carter"/>
    <x v="0"/>
  </r>
  <r>
    <s v="Betty Campbell"/>
    <x v="0"/>
  </r>
  <r>
    <s v="Helen Roberts"/>
    <x v="1"/>
  </r>
  <r>
    <s v="Sandra Phillips"/>
    <x v="2"/>
  </r>
  <r>
    <s v="Lawrence Reed"/>
    <x v="0"/>
  </r>
  <r>
    <s v="Elizabeth Hall"/>
    <x v="0"/>
  </r>
  <r>
    <s v="Robert Thomas"/>
    <x v="0"/>
  </r>
  <r>
    <s v="Lisa Anderson"/>
    <x v="1"/>
  </r>
  <r>
    <s v="Susan Green"/>
    <x v="1"/>
  </r>
  <r>
    <s v="Dorothy Nelson"/>
    <x v="2"/>
  </r>
  <r>
    <s v="William White"/>
    <x v="1"/>
  </r>
  <r>
    <s v="Mark Carter"/>
    <x v="2"/>
  </r>
  <r>
    <s v="Douglas Watson"/>
    <x v="1"/>
  </r>
  <r>
    <s v="Karen Hill"/>
    <x v="1"/>
  </r>
  <r>
    <s v="Edward Mitchell"/>
    <x v="1"/>
  </r>
  <r>
    <s v="Michael Brown"/>
    <x v="3"/>
  </r>
  <r>
    <s v="Arthur Edwards"/>
    <x v="2"/>
  </r>
  <r>
    <s v="Ruth Brooks"/>
    <x v="1"/>
  </r>
  <r>
    <s v="Virginia Sanders"/>
    <x v="2"/>
  </r>
  <r>
    <s v="Sharon Butler"/>
    <x v="2"/>
  </r>
  <r>
    <s v="Nancy Collins"/>
    <x v="0"/>
  </r>
  <r>
    <s v="Kevin Scott"/>
    <x v="1"/>
  </r>
  <r>
    <s v="Paul Baker"/>
    <x v="2"/>
  </r>
  <r>
    <s v="Richard Lee"/>
    <x v="1"/>
  </r>
  <r>
    <s v="Edward Mitchell"/>
    <x v="3"/>
  </r>
  <r>
    <s v="Michael Brown"/>
    <x v="1"/>
  </r>
  <r>
    <s v="Barbara Young"/>
    <x v="1"/>
  </r>
  <r>
    <s v="Frank Torres"/>
    <x v="1"/>
  </r>
  <r>
    <s v="Charles Allen"/>
    <x v="2"/>
  </r>
  <r>
    <s v="Sharon Butler"/>
    <x v="2"/>
  </r>
  <r>
    <s v="Ruth Brooks"/>
    <x v="1"/>
  </r>
  <r>
    <s v="Arthur Edwards"/>
    <x v="0"/>
  </r>
  <r>
    <s v="Elizabeth Hall"/>
    <x v="2"/>
  </r>
  <r>
    <s v="Steven Turner"/>
    <x v="1"/>
  </r>
  <r>
    <s v="Richard Lee"/>
    <x v="2"/>
  </r>
  <r>
    <s v="Virginia Sanders"/>
    <x v="1"/>
  </r>
  <r>
    <s v="Charles Allen"/>
    <x v="2"/>
  </r>
  <r>
    <s v="Lawrence Reed"/>
    <x v="2"/>
  </r>
  <r>
    <s v="Dennis Gray"/>
    <x v="2"/>
  </r>
  <r>
    <s v="Paul Baker"/>
    <x v="3"/>
  </r>
  <r>
    <s v="Helen Roberts"/>
    <x v="0"/>
  </r>
  <r>
    <s v="Lawrence Reed"/>
    <x v="1"/>
  </r>
  <r>
    <s v="Harry Morgan"/>
    <x v="3"/>
  </r>
  <r>
    <s v="Charles Allen"/>
    <x v="2"/>
  </r>
  <r>
    <s v="Harry Morgan"/>
    <x v="2"/>
  </r>
  <r>
    <s v="Frank Torres"/>
    <x v="2"/>
  </r>
  <r>
    <s v="Emma Wilson"/>
    <x v="2"/>
  </r>
  <r>
    <s v="Sharon Butler"/>
    <x v="1"/>
  </r>
  <r>
    <s v="Dorothy Nelson"/>
    <x v="2"/>
  </r>
  <r>
    <s v="Paul Baker"/>
    <x v="2"/>
  </r>
  <r>
    <s v="John Smith"/>
    <x v="0"/>
  </r>
  <r>
    <s v="Cynthia Price"/>
    <x v="2"/>
  </r>
  <r>
    <s v="Margaret Wright"/>
    <x v="1"/>
  </r>
  <r>
    <s v="Virginia Sanders"/>
    <x v="2"/>
  </r>
  <r>
    <s v="Karen Hill"/>
    <x v="0"/>
  </r>
  <r>
    <s v="Cynthia Price"/>
    <x v="1"/>
  </r>
  <r>
    <s v="Edward Mitchell"/>
    <x v="2"/>
  </r>
  <r>
    <s v="Virginia Sanders"/>
    <x v="0"/>
  </r>
  <r>
    <s v="Robert Thomas"/>
    <x v="3"/>
  </r>
  <r>
    <s v="Douglas Watson"/>
    <x v="1"/>
  </r>
  <r>
    <s v="Lawrence Reed"/>
    <x v="2"/>
  </r>
  <r>
    <s v="Steven Turne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d v="2024-04-11T00:00:00"/>
    <s v="CUST023"/>
    <x v="0"/>
    <s v="P009"/>
    <x v="0"/>
    <x v="0"/>
    <n v="3"/>
    <n v="249.99"/>
    <s v="Cash"/>
    <x v="0"/>
    <s v="Basic"/>
    <d v="2021-08-17T00:00:00"/>
    <n v="749.97"/>
    <x v="0"/>
    <x v="0"/>
  </r>
  <r>
    <s v="TRX0023"/>
    <d v="2024-04-14T00:00:00"/>
    <s v="CUST013"/>
    <x v="1"/>
    <s v="P009"/>
    <x v="0"/>
    <x v="0"/>
    <n v="3"/>
    <n v="249.99"/>
    <s v="Credit Card"/>
    <x v="0"/>
    <s v="Premium"/>
    <d v="2022-01-14T00:00:00"/>
    <n v="749.97"/>
    <x v="1"/>
    <x v="1"/>
  </r>
  <r>
    <s v="TRX0139"/>
    <d v="2024-04-17T00:00:00"/>
    <s v="CUST021"/>
    <x v="2"/>
    <s v="P005"/>
    <x v="1"/>
    <x v="1"/>
    <n v="3"/>
    <n v="59.99"/>
    <s v="PayPal"/>
    <x v="1"/>
    <s v="Standard"/>
    <d v="2023-12-02T00:00:00"/>
    <n v="179.97"/>
    <x v="2"/>
    <x v="2"/>
  </r>
  <r>
    <s v="TRX0043"/>
    <d v="2024-04-18T00:00:00"/>
    <s v="CUST046"/>
    <x v="3"/>
    <s v="P005"/>
    <x v="1"/>
    <x v="1"/>
    <n v="3"/>
    <n v="59.99"/>
    <s v="Cash"/>
    <x v="2"/>
    <s v="Premium"/>
    <d v="2023-07-07T00:00:00"/>
    <n v="179.97"/>
    <x v="3"/>
    <x v="2"/>
  </r>
  <r>
    <s v="TRX0212"/>
    <d v="2024-04-18T00:00:00"/>
    <s v="CUST003"/>
    <x v="4"/>
    <s v="P008"/>
    <x v="2"/>
    <x v="2"/>
    <n v="5"/>
    <n v="149.99"/>
    <s v="Credit Card"/>
    <x v="2"/>
    <s v="Premium"/>
    <d v="2024-01-04T00:00:00"/>
    <n v="749.95"/>
    <x v="1"/>
    <x v="3"/>
  </r>
  <r>
    <s v="TRX0092"/>
    <d v="2024-04-21T00:00:00"/>
    <s v="CUST024"/>
    <x v="5"/>
    <s v="P005"/>
    <x v="1"/>
    <x v="1"/>
    <n v="2"/>
    <n v="59.99"/>
    <s v="Cash"/>
    <x v="3"/>
    <s v="Standard"/>
    <d v="2022-07-04T00:00:00"/>
    <n v="119.98"/>
    <x v="3"/>
    <x v="1"/>
  </r>
  <r>
    <s v="TRX0193"/>
    <d v="2024-04-21T00:00:00"/>
    <s v="CUST024"/>
    <x v="5"/>
    <s v="P003"/>
    <x v="3"/>
    <x v="0"/>
    <n v="5"/>
    <n v="149.99"/>
    <s v="Credit Card"/>
    <x v="0"/>
    <s v="Standard"/>
    <d v="2021-08-10T00:00:00"/>
    <n v="749.95"/>
    <x v="0"/>
    <x v="0"/>
  </r>
  <r>
    <s v="TRX0240"/>
    <d v="2024-04-21T00:00:00"/>
    <s v="CUST017"/>
    <x v="6"/>
    <s v="P005"/>
    <x v="1"/>
    <x v="1"/>
    <n v="3"/>
    <n v="59.99"/>
    <s v="Debit Card"/>
    <x v="1"/>
    <s v="Basic"/>
    <d v="2023-03-22T00:00:00"/>
    <n v="179.97"/>
    <x v="4"/>
    <x v="2"/>
  </r>
  <r>
    <s v="TRX0135"/>
    <d v="2024-04-23T00:00:00"/>
    <s v="CUST009"/>
    <x v="7"/>
    <s v="P001"/>
    <x v="4"/>
    <x v="0"/>
    <n v="3"/>
    <n v="899.99"/>
    <s v="PayPal"/>
    <x v="4"/>
    <s v="Standard"/>
    <d v="2024-01-08T00:00:00"/>
    <n v="2699.97"/>
    <x v="1"/>
    <x v="3"/>
  </r>
  <r>
    <s v="TRX0185"/>
    <d v="2024-04-26T00:00:00"/>
    <s v="CUST026"/>
    <x v="8"/>
    <s v="P005"/>
    <x v="1"/>
    <x v="1"/>
    <n v="3"/>
    <n v="59.99"/>
    <s v="Cash"/>
    <x v="3"/>
    <s v="Premium"/>
    <d v="2023-10-08T00:00:00"/>
    <n v="179.97"/>
    <x v="5"/>
    <x v="2"/>
  </r>
  <r>
    <s v="TRX0138"/>
    <d v="2024-04-26T00:00:00"/>
    <s v="CUST022"/>
    <x v="9"/>
    <s v="P008"/>
    <x v="2"/>
    <x v="2"/>
    <n v="1"/>
    <n v="149.99"/>
    <s v="Credit Card"/>
    <x v="3"/>
    <s v="Standard"/>
    <d v="2023-06-26T00:00:00"/>
    <n v="149.99"/>
    <x v="6"/>
    <x v="2"/>
  </r>
  <r>
    <s v="TRX0209"/>
    <d v="2024-04-26T00:00:00"/>
    <s v="CUST046"/>
    <x v="3"/>
    <s v="P008"/>
    <x v="2"/>
    <x v="2"/>
    <n v="5"/>
    <n v="149.99"/>
    <s v="Debit Card"/>
    <x v="2"/>
    <s v="Basic"/>
    <d v="2022-09-26T00:00:00"/>
    <n v="749.95"/>
    <x v="7"/>
    <x v="1"/>
  </r>
  <r>
    <s v="TRX0246"/>
    <d v="2024-04-26T00:00:00"/>
    <s v="CUST041"/>
    <x v="10"/>
    <s v="P008"/>
    <x v="2"/>
    <x v="2"/>
    <n v="3"/>
    <n v="149.99"/>
    <s v="Cash"/>
    <x v="2"/>
    <s v="Premium"/>
    <d v="2022-09-02T00:00:00"/>
    <n v="449.97"/>
    <x v="7"/>
    <x v="1"/>
  </r>
  <r>
    <s v="TRX0067"/>
    <d v="2024-04-27T00:00:00"/>
    <s v="CUST043"/>
    <x v="11"/>
    <s v="P005"/>
    <x v="1"/>
    <x v="1"/>
    <n v="3"/>
    <n v="59.99"/>
    <s v="Credit Card"/>
    <x v="2"/>
    <s v="Standard"/>
    <d v="2024-02-29T00:00:00"/>
    <n v="179.97"/>
    <x v="8"/>
    <x v="3"/>
  </r>
  <r>
    <s v="TRX0191"/>
    <d v="2024-04-27T00:00:00"/>
    <s v="CUST038"/>
    <x v="12"/>
    <s v="P002"/>
    <x v="5"/>
    <x v="0"/>
    <n v="3"/>
    <n v="699.99"/>
    <s v="Credit Card"/>
    <x v="3"/>
    <s v="Basic"/>
    <d v="2022-01-16T00:00:00"/>
    <n v="2099.9699999999998"/>
    <x v="1"/>
    <x v="1"/>
  </r>
  <r>
    <s v="TRX0230"/>
    <d v="2024-04-27T00:00:00"/>
    <s v="CUST027"/>
    <x v="13"/>
    <s v="P001"/>
    <x v="4"/>
    <x v="0"/>
    <n v="1"/>
    <n v="899.99"/>
    <s v="Debit Card"/>
    <x v="2"/>
    <s v="Standard"/>
    <d v="2022-12-25T00:00:00"/>
    <n v="899.99"/>
    <x v="2"/>
    <x v="1"/>
  </r>
  <r>
    <s v="TRX0049"/>
    <d v="2024-04-28T00:00:00"/>
    <s v="CUST025"/>
    <x v="14"/>
    <s v="P008"/>
    <x v="2"/>
    <x v="2"/>
    <n v="4"/>
    <n v="149.99"/>
    <s v="Debit Card"/>
    <x v="2"/>
    <s v="Premium"/>
    <d v="2024-03-23T00:00:00"/>
    <n v="599.96"/>
    <x v="4"/>
    <x v="3"/>
  </r>
  <r>
    <s v="TRX0134"/>
    <d v="2024-04-28T00:00:00"/>
    <s v="CUST010"/>
    <x v="15"/>
    <s v="P002"/>
    <x v="5"/>
    <x v="0"/>
    <n v="2"/>
    <n v="699.99"/>
    <s v="Cash"/>
    <x v="2"/>
    <s v="Basic"/>
    <d v="2022-08-08T00:00:00"/>
    <n v="1399.98"/>
    <x v="0"/>
    <x v="1"/>
  </r>
  <r>
    <s v="TRX0122"/>
    <d v="2024-04-28T00:00:00"/>
    <s v="CUST025"/>
    <x v="14"/>
    <s v="P001"/>
    <x v="4"/>
    <x v="0"/>
    <n v="4"/>
    <n v="899.99"/>
    <s v="Credit Card"/>
    <x v="3"/>
    <s v="Standard"/>
    <d v="2024-02-05T00:00:00"/>
    <n v="3599.96"/>
    <x v="8"/>
    <x v="3"/>
  </r>
  <r>
    <s v="TRX0222"/>
    <d v="2024-04-28T00:00:00"/>
    <s v="CUST048"/>
    <x v="16"/>
    <s v="P009"/>
    <x v="0"/>
    <x v="0"/>
    <n v="3"/>
    <n v="249.99"/>
    <s v="Credit Card"/>
    <x v="2"/>
    <s v="Premium"/>
    <d v="2023-10-25T00:00:00"/>
    <n v="749.97"/>
    <x v="5"/>
    <x v="2"/>
  </r>
  <r>
    <s v="TRX0231"/>
    <d v="2024-04-30T00:00:00"/>
    <s v="CUST018"/>
    <x v="17"/>
    <s v="P002"/>
    <x v="5"/>
    <x v="0"/>
    <n v="5"/>
    <n v="699.99"/>
    <s v="Cash"/>
    <x v="3"/>
    <s v="Basic"/>
    <d v="2023-08-29T00:00:00"/>
    <n v="3499.95"/>
    <x v="0"/>
    <x v="2"/>
  </r>
  <r>
    <s v="TRX0239"/>
    <d v="2024-05-01T00:00:00"/>
    <s v="CUST012"/>
    <x v="18"/>
    <s v="P002"/>
    <x v="5"/>
    <x v="0"/>
    <n v="4"/>
    <n v="699.99"/>
    <s v="Cash"/>
    <x v="4"/>
    <s v="Standard"/>
    <d v="2021-08-01T00:00:00"/>
    <n v="2799.96"/>
    <x v="0"/>
    <x v="0"/>
  </r>
  <r>
    <s v="TRX0204"/>
    <d v="2024-05-03T00:00:00"/>
    <s v="CUST044"/>
    <x v="19"/>
    <s v="P009"/>
    <x v="0"/>
    <x v="0"/>
    <n v="4"/>
    <n v="249.99"/>
    <s v="PayPal"/>
    <x v="2"/>
    <s v="Standard"/>
    <d v="2021-09-29T00:00:00"/>
    <n v="999.96"/>
    <x v="7"/>
    <x v="0"/>
  </r>
  <r>
    <s v="TRX0242"/>
    <d v="2024-05-04T00:00:00"/>
    <s v="CUST025"/>
    <x v="14"/>
    <s v="P007"/>
    <x v="6"/>
    <x v="2"/>
    <n v="4"/>
    <n v="299.99"/>
    <s v="Cash"/>
    <x v="3"/>
    <s v="Premium"/>
    <d v="2022-06-04T00:00:00"/>
    <n v="1199.96"/>
    <x v="6"/>
    <x v="1"/>
  </r>
  <r>
    <s v="TRX0071"/>
    <d v="2024-05-10T00:00:00"/>
    <s v="CUST036"/>
    <x v="20"/>
    <s v="P009"/>
    <x v="0"/>
    <x v="0"/>
    <n v="5"/>
    <n v="249.99"/>
    <s v="Credit Card"/>
    <x v="3"/>
    <s v="Standard"/>
    <d v="2021-11-25T00:00:00"/>
    <n v="1249.95"/>
    <x v="9"/>
    <x v="0"/>
  </r>
  <r>
    <s v="TRX0040"/>
    <d v="2024-05-12T00:00:00"/>
    <s v="CUST022"/>
    <x v="9"/>
    <s v="P007"/>
    <x v="6"/>
    <x v="2"/>
    <n v="5"/>
    <n v="299.99"/>
    <s v="PayPal"/>
    <x v="4"/>
    <s v="Basic"/>
    <d v="2023-08-30T00:00:00"/>
    <n v="1499.95"/>
    <x v="0"/>
    <x v="2"/>
  </r>
  <r>
    <s v="TRX0235"/>
    <d v="2024-05-12T00:00:00"/>
    <s v="CUST014"/>
    <x v="21"/>
    <s v="P004"/>
    <x v="7"/>
    <x v="1"/>
    <n v="3"/>
    <n v="79.989999999999995"/>
    <s v="PayPal"/>
    <x v="4"/>
    <s v="Premium"/>
    <d v="2023-03-27T00:00:00"/>
    <n v="239.97"/>
    <x v="4"/>
    <x v="2"/>
  </r>
  <r>
    <s v="TRX0004"/>
    <d v="2024-05-12T00:00:00"/>
    <s v="CUST012"/>
    <x v="18"/>
    <s v="P010"/>
    <x v="8"/>
    <x v="0"/>
    <n v="5"/>
    <n v="89.99"/>
    <s v="Cash"/>
    <x v="2"/>
    <s v="Premium"/>
    <d v="2022-12-24T00:00:00"/>
    <n v="449.95"/>
    <x v="2"/>
    <x v="1"/>
  </r>
  <r>
    <s v="TRX0063"/>
    <d v="2024-05-13T00:00:00"/>
    <s v="CUST030"/>
    <x v="22"/>
    <s v="P005"/>
    <x v="1"/>
    <x v="1"/>
    <n v="2"/>
    <n v="59.99"/>
    <s v="Debit Card"/>
    <x v="0"/>
    <s v="Standard"/>
    <d v="2023-10-15T00:00:00"/>
    <n v="119.98"/>
    <x v="5"/>
    <x v="2"/>
  </r>
  <r>
    <s v="TRX0241"/>
    <d v="2024-05-15T00:00:00"/>
    <s v="CUST029"/>
    <x v="23"/>
    <s v="P005"/>
    <x v="1"/>
    <x v="1"/>
    <n v="4"/>
    <n v="59.99"/>
    <s v="Debit Card"/>
    <x v="4"/>
    <s v="Standard"/>
    <d v="2022-11-02T00:00:00"/>
    <n v="239.96"/>
    <x v="9"/>
    <x v="1"/>
  </r>
  <r>
    <s v="TRX0029"/>
    <d v="2024-05-15T00:00:00"/>
    <s v="CUST017"/>
    <x v="6"/>
    <s v="P006"/>
    <x v="9"/>
    <x v="2"/>
    <n v="5"/>
    <n v="199.99"/>
    <s v="Cash"/>
    <x v="1"/>
    <s v="Standard"/>
    <d v="2021-08-04T00:00:00"/>
    <n v="999.95"/>
    <x v="0"/>
    <x v="0"/>
  </r>
  <r>
    <s v="TRX0194"/>
    <d v="2024-05-16T00:00:00"/>
    <s v="CUST006"/>
    <x v="24"/>
    <s v="P008"/>
    <x v="2"/>
    <x v="2"/>
    <n v="2"/>
    <n v="149.99"/>
    <s v="Credit Card"/>
    <x v="3"/>
    <s v="Basic"/>
    <d v="2022-09-19T00:00:00"/>
    <n v="299.98"/>
    <x v="7"/>
    <x v="1"/>
  </r>
  <r>
    <s v="TRX0130"/>
    <d v="2024-05-18T00:00:00"/>
    <s v="CUST002"/>
    <x v="25"/>
    <s v="P008"/>
    <x v="2"/>
    <x v="2"/>
    <n v="3"/>
    <n v="149.99"/>
    <s v="Credit Card"/>
    <x v="3"/>
    <s v="Premium"/>
    <d v="2023-05-22T00:00:00"/>
    <n v="449.97"/>
    <x v="10"/>
    <x v="2"/>
  </r>
  <r>
    <s v="TRX0041"/>
    <d v="2024-05-20T00:00:00"/>
    <s v="CUST021"/>
    <x v="2"/>
    <s v="P001"/>
    <x v="4"/>
    <x v="0"/>
    <n v="1"/>
    <n v="899.99"/>
    <s v="Credit Card"/>
    <x v="3"/>
    <s v="Premium"/>
    <d v="2022-01-17T00:00:00"/>
    <n v="899.99"/>
    <x v="1"/>
    <x v="1"/>
  </r>
  <r>
    <s v="TRX0232"/>
    <d v="2024-05-22T00:00:00"/>
    <s v="CUST012"/>
    <x v="18"/>
    <s v="P007"/>
    <x v="6"/>
    <x v="2"/>
    <n v="3"/>
    <n v="299.99"/>
    <s v="Credit Card"/>
    <x v="4"/>
    <s v="Basic"/>
    <d v="2022-09-20T00:00:00"/>
    <n v="899.97"/>
    <x v="7"/>
    <x v="1"/>
  </r>
  <r>
    <s v="TRX0021"/>
    <d v="2024-05-23T00:00:00"/>
    <s v="CUST006"/>
    <x v="24"/>
    <s v="P004"/>
    <x v="7"/>
    <x v="1"/>
    <n v="3"/>
    <n v="79.989999999999995"/>
    <s v="Cash"/>
    <x v="1"/>
    <s v="Basic"/>
    <d v="2023-04-30T00:00:00"/>
    <n v="239.97"/>
    <x v="11"/>
    <x v="2"/>
  </r>
  <r>
    <s v="TRX0245"/>
    <d v="2024-05-26T00:00:00"/>
    <s v="CUST031"/>
    <x v="26"/>
    <s v="P006"/>
    <x v="9"/>
    <x v="2"/>
    <n v="3"/>
    <n v="199.99"/>
    <s v="Credit Card"/>
    <x v="2"/>
    <s v="Premium"/>
    <d v="2024-01-01T00:00:00"/>
    <n v="599.97"/>
    <x v="1"/>
    <x v="3"/>
  </r>
  <r>
    <s v="TRX0015"/>
    <d v="2024-05-28T00:00:00"/>
    <s v="CUST008"/>
    <x v="27"/>
    <s v="P002"/>
    <x v="5"/>
    <x v="0"/>
    <n v="5"/>
    <n v="699.99"/>
    <s v="PayPal"/>
    <x v="3"/>
    <s v="Standard"/>
    <d v="2021-07-30T00:00:00"/>
    <n v="3499.95"/>
    <x v="3"/>
    <x v="0"/>
  </r>
  <r>
    <s v="TRX0202"/>
    <d v="2024-05-29T00:00:00"/>
    <s v="CUST035"/>
    <x v="28"/>
    <s v="P010"/>
    <x v="8"/>
    <x v="0"/>
    <n v="3"/>
    <n v="89.99"/>
    <s v="PayPal"/>
    <x v="0"/>
    <s v="Premium"/>
    <d v="2023-07-13T00:00:00"/>
    <n v="269.97000000000003"/>
    <x v="3"/>
    <x v="2"/>
  </r>
  <r>
    <s v="TRX0042"/>
    <d v="2024-05-31T00:00:00"/>
    <s v="CUST019"/>
    <x v="29"/>
    <s v="P004"/>
    <x v="7"/>
    <x v="1"/>
    <n v="1"/>
    <n v="79.989999999999995"/>
    <s v="Cash"/>
    <x v="2"/>
    <s v="Standard"/>
    <d v="2022-12-22T00:00:00"/>
    <n v="79.989999999999995"/>
    <x v="2"/>
    <x v="1"/>
  </r>
  <r>
    <s v="TRX0128"/>
    <d v="2024-06-01T00:00:00"/>
    <s v="CUST040"/>
    <x v="30"/>
    <s v="P005"/>
    <x v="1"/>
    <x v="1"/>
    <n v="2"/>
    <n v="59.99"/>
    <s v="Cash"/>
    <x v="3"/>
    <s v="Basic"/>
    <d v="2024-04-08T00:00:00"/>
    <n v="119.98"/>
    <x v="11"/>
    <x v="3"/>
  </r>
  <r>
    <s v="TRX0117"/>
    <d v="2024-06-01T00:00:00"/>
    <s v="CUST017"/>
    <x v="6"/>
    <s v="P010"/>
    <x v="8"/>
    <x v="0"/>
    <n v="1"/>
    <n v="89.99"/>
    <s v="Cash"/>
    <x v="2"/>
    <s v="Basic"/>
    <d v="2023-08-03T00:00:00"/>
    <n v="89.99"/>
    <x v="0"/>
    <x v="2"/>
  </r>
  <r>
    <s v="TRX0208"/>
    <d v="2024-06-03T00:00:00"/>
    <s v="CUST004"/>
    <x v="31"/>
    <s v="P010"/>
    <x v="8"/>
    <x v="0"/>
    <n v="5"/>
    <n v="89.99"/>
    <s v="Credit Card"/>
    <x v="4"/>
    <s v="Standard"/>
    <d v="2022-01-26T00:00:00"/>
    <n v="449.95"/>
    <x v="1"/>
    <x v="1"/>
  </r>
  <r>
    <s v="TRX0234"/>
    <d v="2024-06-06T00:00:00"/>
    <s v="CUST013"/>
    <x v="1"/>
    <s v="P009"/>
    <x v="0"/>
    <x v="0"/>
    <n v="5"/>
    <n v="249.99"/>
    <s v="Credit Card"/>
    <x v="4"/>
    <s v="Standard"/>
    <d v="2022-05-26T00:00:00"/>
    <n v="1249.95"/>
    <x v="10"/>
    <x v="1"/>
  </r>
  <r>
    <s v="TRX0121"/>
    <d v="2024-06-06T00:00:00"/>
    <s v="CUST028"/>
    <x v="32"/>
    <s v="P010"/>
    <x v="8"/>
    <x v="0"/>
    <n v="1"/>
    <n v="89.99"/>
    <s v="Credit Card"/>
    <x v="1"/>
    <s v="Standard"/>
    <d v="2022-01-21T00:00:00"/>
    <n v="89.99"/>
    <x v="1"/>
    <x v="1"/>
  </r>
  <r>
    <s v="TRX0220"/>
    <d v="2024-06-07T00:00:00"/>
    <s v="CUST003"/>
    <x v="4"/>
    <s v="P008"/>
    <x v="2"/>
    <x v="2"/>
    <n v="2"/>
    <n v="149.99"/>
    <s v="Cash"/>
    <x v="4"/>
    <s v="Premium"/>
    <d v="2022-03-25T00:00:00"/>
    <n v="299.98"/>
    <x v="4"/>
    <x v="1"/>
  </r>
  <r>
    <s v="TRX0093"/>
    <d v="2024-06-09T00:00:00"/>
    <s v="CUST050"/>
    <x v="33"/>
    <s v="P005"/>
    <x v="1"/>
    <x v="1"/>
    <n v="4"/>
    <n v="59.99"/>
    <s v="Cash"/>
    <x v="4"/>
    <s v="Standard"/>
    <d v="2021-08-27T00:00:00"/>
    <n v="239.96"/>
    <x v="0"/>
    <x v="0"/>
  </r>
  <r>
    <s v="TRX0088"/>
    <d v="2024-06-13T00:00:00"/>
    <s v="CUST006"/>
    <x v="24"/>
    <s v="P010"/>
    <x v="8"/>
    <x v="0"/>
    <n v="5"/>
    <n v="89.99"/>
    <s v="Cash"/>
    <x v="0"/>
    <s v="Premium"/>
    <d v="2022-01-18T00:00:00"/>
    <n v="449.95"/>
    <x v="1"/>
    <x v="1"/>
  </r>
  <r>
    <s v="TRX0115"/>
    <d v="2024-06-16T00:00:00"/>
    <s v="CUST012"/>
    <x v="18"/>
    <s v="P010"/>
    <x v="8"/>
    <x v="0"/>
    <n v="2"/>
    <n v="89.99"/>
    <s v="Credit Card"/>
    <x v="1"/>
    <s v="Premium"/>
    <d v="2021-10-02T00:00:00"/>
    <n v="179.98"/>
    <x v="5"/>
    <x v="0"/>
  </r>
  <r>
    <s v="TRX0154"/>
    <d v="2024-06-16T00:00:00"/>
    <s v="CUST023"/>
    <x v="0"/>
    <s v="P001"/>
    <x v="4"/>
    <x v="0"/>
    <n v="5"/>
    <n v="899.99"/>
    <s v="Credit Card"/>
    <x v="1"/>
    <s v="Standard"/>
    <d v="2023-02-17T00:00:00"/>
    <n v="4499.95"/>
    <x v="8"/>
    <x v="2"/>
  </r>
  <r>
    <s v="TRX0044"/>
    <d v="2024-06-16T00:00:00"/>
    <s v="CUST029"/>
    <x v="23"/>
    <s v="P001"/>
    <x v="4"/>
    <x v="0"/>
    <n v="5"/>
    <n v="899.99"/>
    <s v="PayPal"/>
    <x v="4"/>
    <s v="Premium"/>
    <d v="2023-12-18T00:00:00"/>
    <n v="4499.95"/>
    <x v="2"/>
    <x v="2"/>
  </r>
  <r>
    <s v="TRX0061"/>
    <d v="2024-06-17T00:00:00"/>
    <s v="CUST028"/>
    <x v="32"/>
    <s v="P005"/>
    <x v="1"/>
    <x v="1"/>
    <n v="1"/>
    <n v="59.99"/>
    <s v="Debit Card"/>
    <x v="3"/>
    <s v="Premium"/>
    <d v="2023-09-21T00:00:00"/>
    <n v="59.99"/>
    <x v="7"/>
    <x v="2"/>
  </r>
  <r>
    <s v="TRX0150"/>
    <d v="2024-06-17T00:00:00"/>
    <s v="CUST008"/>
    <x v="27"/>
    <s v="P007"/>
    <x v="6"/>
    <x v="2"/>
    <n v="2"/>
    <n v="299.99"/>
    <s v="Debit Card"/>
    <x v="4"/>
    <s v="Standard"/>
    <d v="2023-11-23T00:00:00"/>
    <n v="599.98"/>
    <x v="9"/>
    <x v="2"/>
  </r>
  <r>
    <s v="TRX0025"/>
    <d v="2024-06-25T00:00:00"/>
    <s v="CUST049"/>
    <x v="34"/>
    <s v="P010"/>
    <x v="8"/>
    <x v="0"/>
    <n v="4"/>
    <n v="89.99"/>
    <s v="Debit Card"/>
    <x v="1"/>
    <s v="Basic"/>
    <d v="2023-12-21T00:00:00"/>
    <n v="359.96"/>
    <x v="2"/>
    <x v="2"/>
  </r>
  <r>
    <s v="TRX0078"/>
    <d v="2024-06-26T00:00:00"/>
    <s v="CUST021"/>
    <x v="2"/>
    <s v="P004"/>
    <x v="7"/>
    <x v="1"/>
    <n v="1"/>
    <n v="79.989999999999995"/>
    <s v="PayPal"/>
    <x v="0"/>
    <s v="Premium"/>
    <d v="2024-03-01T00:00:00"/>
    <n v="79.989999999999995"/>
    <x v="4"/>
    <x v="3"/>
  </r>
  <r>
    <s v="TRX0007"/>
    <d v="2024-06-26T00:00:00"/>
    <s v="CUST009"/>
    <x v="7"/>
    <s v="P010"/>
    <x v="8"/>
    <x v="0"/>
    <n v="2"/>
    <n v="89.99"/>
    <s v="Cash"/>
    <x v="3"/>
    <s v="Basic"/>
    <d v="2021-08-30T00:00:00"/>
    <n v="179.98"/>
    <x v="0"/>
    <x v="0"/>
  </r>
  <r>
    <s v="TRX0184"/>
    <d v="2024-06-28T00:00:00"/>
    <s v="CUST046"/>
    <x v="3"/>
    <s v="P002"/>
    <x v="5"/>
    <x v="0"/>
    <n v="3"/>
    <n v="699.99"/>
    <s v="Credit Card"/>
    <x v="4"/>
    <s v="Premium"/>
    <d v="2023-06-25T00:00:00"/>
    <n v="2099.9699999999998"/>
    <x v="6"/>
    <x v="2"/>
  </r>
  <r>
    <s v="TRX0104"/>
    <d v="2024-06-28T00:00:00"/>
    <s v="CUST012"/>
    <x v="18"/>
    <s v="P001"/>
    <x v="4"/>
    <x v="0"/>
    <n v="4"/>
    <n v="899.99"/>
    <s v="Credit Card"/>
    <x v="4"/>
    <s v="Premium"/>
    <d v="2023-03-08T00:00:00"/>
    <n v="3599.96"/>
    <x v="4"/>
    <x v="2"/>
  </r>
  <r>
    <s v="TRX0127"/>
    <d v="2024-06-29T00:00:00"/>
    <s v="CUST030"/>
    <x v="22"/>
    <s v="P008"/>
    <x v="2"/>
    <x v="2"/>
    <n v="1"/>
    <n v="149.99"/>
    <s v="PayPal"/>
    <x v="4"/>
    <s v="Basic"/>
    <d v="2022-10-17T00:00:00"/>
    <n v="149.99"/>
    <x v="5"/>
    <x v="1"/>
  </r>
  <r>
    <s v="TRX0096"/>
    <d v="2024-07-01T00:00:00"/>
    <s v="CUST002"/>
    <x v="25"/>
    <s v="P010"/>
    <x v="8"/>
    <x v="0"/>
    <n v="2"/>
    <n v="89.99"/>
    <s v="PayPal"/>
    <x v="0"/>
    <s v="Premium"/>
    <d v="2023-12-15T00:00:00"/>
    <n v="179.98"/>
    <x v="2"/>
    <x v="2"/>
  </r>
  <r>
    <s v="TRX0192"/>
    <d v="2024-07-02T00:00:00"/>
    <s v="CUST017"/>
    <x v="6"/>
    <s v="P010"/>
    <x v="8"/>
    <x v="0"/>
    <n v="1"/>
    <n v="89.99"/>
    <s v="PayPal"/>
    <x v="3"/>
    <s v="Standard"/>
    <d v="2022-08-29T00:00:00"/>
    <n v="89.99"/>
    <x v="0"/>
    <x v="1"/>
  </r>
  <r>
    <s v="TRX0052"/>
    <d v="2024-07-03T00:00:00"/>
    <s v="CUST022"/>
    <x v="9"/>
    <s v="P010"/>
    <x v="8"/>
    <x v="0"/>
    <n v="1"/>
    <n v="89.99"/>
    <s v="Cash"/>
    <x v="1"/>
    <s v="Standard"/>
    <d v="2022-02-19T00:00:00"/>
    <n v="89.99"/>
    <x v="8"/>
    <x v="1"/>
  </r>
  <r>
    <s v="TRX0070"/>
    <d v="2024-07-03T00:00:00"/>
    <s v="CUST007"/>
    <x v="35"/>
    <s v="P004"/>
    <x v="7"/>
    <x v="1"/>
    <n v="5"/>
    <n v="79.989999999999995"/>
    <s v="Debit Card"/>
    <x v="0"/>
    <s v="Basic"/>
    <d v="2023-02-24T00:00:00"/>
    <n v="399.95"/>
    <x v="8"/>
    <x v="2"/>
  </r>
  <r>
    <s v="TRX0086"/>
    <d v="2024-07-08T00:00:00"/>
    <s v="CUST020"/>
    <x v="36"/>
    <s v="P008"/>
    <x v="2"/>
    <x v="2"/>
    <n v="1"/>
    <n v="149.99"/>
    <s v="PayPal"/>
    <x v="2"/>
    <s v="Basic"/>
    <d v="2021-08-13T00:00:00"/>
    <n v="149.99"/>
    <x v="0"/>
    <x v="0"/>
  </r>
  <r>
    <s v="TRX0113"/>
    <d v="2024-07-08T00:00:00"/>
    <s v="CUST003"/>
    <x v="4"/>
    <s v="P002"/>
    <x v="5"/>
    <x v="0"/>
    <n v="2"/>
    <n v="699.99"/>
    <s v="PayPal"/>
    <x v="4"/>
    <s v="Premium"/>
    <d v="2024-04-07T00:00:00"/>
    <n v="1399.98"/>
    <x v="11"/>
    <x v="3"/>
  </r>
  <r>
    <s v="TRX0114"/>
    <d v="2024-07-08T00:00:00"/>
    <s v="CUST018"/>
    <x v="17"/>
    <s v="P010"/>
    <x v="8"/>
    <x v="0"/>
    <n v="5"/>
    <n v="89.99"/>
    <s v="Debit Card"/>
    <x v="2"/>
    <s v="Premium"/>
    <d v="2023-08-23T00:00:00"/>
    <n v="449.95"/>
    <x v="0"/>
    <x v="2"/>
  </r>
  <r>
    <s v="TRX0136"/>
    <d v="2024-07-09T00:00:00"/>
    <s v="CUST049"/>
    <x v="34"/>
    <s v="P005"/>
    <x v="1"/>
    <x v="1"/>
    <n v="4"/>
    <n v="59.99"/>
    <s v="Cash"/>
    <x v="1"/>
    <s v="Standard"/>
    <d v="2021-11-09T00:00:00"/>
    <n v="239.96"/>
    <x v="9"/>
    <x v="0"/>
  </r>
  <r>
    <s v="TRX0018"/>
    <d v="2024-07-11T00:00:00"/>
    <s v="CUST013"/>
    <x v="1"/>
    <s v="P003"/>
    <x v="3"/>
    <x v="0"/>
    <n v="1"/>
    <n v="149.99"/>
    <s v="Cash"/>
    <x v="0"/>
    <s v="Standard"/>
    <d v="2022-12-14T00:00:00"/>
    <n v="149.99"/>
    <x v="2"/>
    <x v="1"/>
  </r>
  <r>
    <s v="TRX0141"/>
    <d v="2024-07-11T00:00:00"/>
    <s v="CUST033"/>
    <x v="37"/>
    <s v="P007"/>
    <x v="6"/>
    <x v="2"/>
    <n v="1"/>
    <n v="299.99"/>
    <s v="Credit Card"/>
    <x v="2"/>
    <s v="Premium"/>
    <d v="2022-11-26T00:00:00"/>
    <n v="299.99"/>
    <x v="9"/>
    <x v="1"/>
  </r>
  <r>
    <s v="TRX0097"/>
    <d v="2024-07-14T00:00:00"/>
    <s v="CUST033"/>
    <x v="37"/>
    <s v="P006"/>
    <x v="9"/>
    <x v="2"/>
    <n v="2"/>
    <n v="199.99"/>
    <s v="Cash"/>
    <x v="2"/>
    <s v="Basic"/>
    <d v="2021-12-11T00:00:00"/>
    <n v="399.98"/>
    <x v="2"/>
    <x v="0"/>
  </r>
  <r>
    <s v="TRX0169"/>
    <d v="2024-07-17T00:00:00"/>
    <s v="CUST047"/>
    <x v="38"/>
    <s v="P005"/>
    <x v="1"/>
    <x v="1"/>
    <n v="3"/>
    <n v="59.99"/>
    <s v="Credit Card"/>
    <x v="3"/>
    <s v="Basic"/>
    <d v="2023-07-23T00:00:00"/>
    <n v="179.97"/>
    <x v="3"/>
    <x v="2"/>
  </r>
  <r>
    <s v="TRX0216"/>
    <d v="2024-07-17T00:00:00"/>
    <s v="CUST041"/>
    <x v="10"/>
    <s v="P008"/>
    <x v="2"/>
    <x v="2"/>
    <n v="3"/>
    <n v="149.99"/>
    <s v="Cash"/>
    <x v="0"/>
    <s v="Premium"/>
    <d v="2023-09-30T00:00:00"/>
    <n v="449.97"/>
    <x v="7"/>
    <x v="2"/>
  </r>
  <r>
    <s v="TRX0131"/>
    <d v="2024-07-18T00:00:00"/>
    <s v="CUST026"/>
    <x v="8"/>
    <s v="P006"/>
    <x v="9"/>
    <x v="2"/>
    <n v="3"/>
    <n v="199.99"/>
    <s v="Cash"/>
    <x v="2"/>
    <s v="Premium"/>
    <d v="2023-11-24T00:00:00"/>
    <n v="599.97"/>
    <x v="9"/>
    <x v="2"/>
  </r>
  <r>
    <s v="TRX0162"/>
    <d v="2024-07-23T00:00:00"/>
    <s v="CUST040"/>
    <x v="30"/>
    <s v="P001"/>
    <x v="4"/>
    <x v="0"/>
    <n v="1"/>
    <n v="899.99"/>
    <s v="Cash"/>
    <x v="0"/>
    <s v="Standard"/>
    <d v="2023-09-10T00:00:00"/>
    <n v="899.99"/>
    <x v="7"/>
    <x v="2"/>
  </r>
  <r>
    <s v="TRX0244"/>
    <d v="2024-07-24T00:00:00"/>
    <s v="CUST013"/>
    <x v="1"/>
    <s v="P001"/>
    <x v="4"/>
    <x v="0"/>
    <n v="5"/>
    <n v="899.99"/>
    <s v="Debit Card"/>
    <x v="1"/>
    <s v="Standard"/>
    <d v="2022-12-04T00:00:00"/>
    <n v="4499.95"/>
    <x v="2"/>
    <x v="1"/>
  </r>
  <r>
    <s v="TRX0006"/>
    <d v="2024-07-25T00:00:00"/>
    <s v="CUST007"/>
    <x v="35"/>
    <s v="P005"/>
    <x v="1"/>
    <x v="1"/>
    <n v="2"/>
    <n v="59.99"/>
    <s v="Cash"/>
    <x v="2"/>
    <s v="Standard"/>
    <d v="2023-08-14T00:00:00"/>
    <n v="119.98"/>
    <x v="0"/>
    <x v="2"/>
  </r>
  <r>
    <s v="TRX0215"/>
    <d v="2024-07-25T00:00:00"/>
    <s v="CUST047"/>
    <x v="38"/>
    <s v="P009"/>
    <x v="0"/>
    <x v="0"/>
    <n v="4"/>
    <n v="249.99"/>
    <s v="Debit Card"/>
    <x v="0"/>
    <s v="Standard"/>
    <d v="2023-07-20T00:00:00"/>
    <n v="999.96"/>
    <x v="3"/>
    <x v="2"/>
  </r>
  <r>
    <s v="TRX0080"/>
    <d v="2024-07-27T00:00:00"/>
    <s v="CUST018"/>
    <x v="17"/>
    <s v="P009"/>
    <x v="0"/>
    <x v="0"/>
    <n v="2"/>
    <n v="249.99"/>
    <s v="Cash"/>
    <x v="2"/>
    <s v="Premium"/>
    <d v="2023-08-26T00:00:00"/>
    <n v="499.98"/>
    <x v="0"/>
    <x v="2"/>
  </r>
  <r>
    <s v="TRX0228"/>
    <d v="2024-07-27T00:00:00"/>
    <s v="CUST019"/>
    <x v="29"/>
    <s v="P007"/>
    <x v="6"/>
    <x v="2"/>
    <n v="1"/>
    <n v="299.99"/>
    <s v="Cash"/>
    <x v="1"/>
    <s v="Basic"/>
    <d v="2023-02-25T00:00:00"/>
    <n v="299.99"/>
    <x v="8"/>
    <x v="2"/>
  </r>
  <r>
    <s v="TRX0157"/>
    <d v="2024-07-28T00:00:00"/>
    <s v="CUST025"/>
    <x v="14"/>
    <s v="P010"/>
    <x v="8"/>
    <x v="0"/>
    <n v="2"/>
    <n v="89.99"/>
    <s v="PayPal"/>
    <x v="1"/>
    <s v="Basic"/>
    <d v="2023-02-19T00:00:00"/>
    <n v="179.98"/>
    <x v="8"/>
    <x v="2"/>
  </r>
  <r>
    <s v="TRX0002"/>
    <d v="2024-07-28T00:00:00"/>
    <s v="CUST019"/>
    <x v="29"/>
    <s v="P007"/>
    <x v="6"/>
    <x v="2"/>
    <n v="3"/>
    <n v="299.99"/>
    <s v="Cash"/>
    <x v="0"/>
    <s v="Basic"/>
    <d v="2022-06-20T00:00:00"/>
    <n v="899.97"/>
    <x v="6"/>
    <x v="1"/>
  </r>
  <r>
    <s v="TRX0217"/>
    <d v="2024-07-30T00:00:00"/>
    <s v="CUST025"/>
    <x v="14"/>
    <s v="P002"/>
    <x v="5"/>
    <x v="0"/>
    <n v="2"/>
    <n v="699.99"/>
    <s v="Credit Card"/>
    <x v="2"/>
    <s v="Premium"/>
    <d v="2023-03-14T00:00:00"/>
    <n v="1399.98"/>
    <x v="4"/>
    <x v="2"/>
  </r>
  <r>
    <s v="TRX0249"/>
    <d v="2024-07-31T00:00:00"/>
    <s v="CUST030"/>
    <x v="22"/>
    <s v="P001"/>
    <x v="4"/>
    <x v="0"/>
    <n v="4"/>
    <n v="899.99"/>
    <s v="Debit Card"/>
    <x v="1"/>
    <s v="Standard"/>
    <d v="2021-11-23T00:00:00"/>
    <n v="3599.96"/>
    <x v="9"/>
    <x v="0"/>
  </r>
  <r>
    <s v="TRX0065"/>
    <d v="2024-08-05T00:00:00"/>
    <s v="CUST016"/>
    <x v="39"/>
    <s v="P008"/>
    <x v="2"/>
    <x v="2"/>
    <n v="2"/>
    <n v="149.99"/>
    <s v="Credit Card"/>
    <x v="3"/>
    <s v="Basic"/>
    <d v="2021-12-12T00:00:00"/>
    <n v="299.98"/>
    <x v="2"/>
    <x v="0"/>
  </r>
  <r>
    <s v="TRX0176"/>
    <d v="2024-08-06T00:00:00"/>
    <s v="CUST044"/>
    <x v="19"/>
    <s v="P008"/>
    <x v="2"/>
    <x v="2"/>
    <n v="2"/>
    <n v="149.99"/>
    <s v="Debit Card"/>
    <x v="4"/>
    <s v="Standard"/>
    <d v="2022-04-16T00:00:00"/>
    <n v="299.98"/>
    <x v="11"/>
    <x v="1"/>
  </r>
  <r>
    <s v="TRX0101"/>
    <d v="2024-08-09T00:00:00"/>
    <s v="CUST010"/>
    <x v="15"/>
    <s v="P010"/>
    <x v="8"/>
    <x v="0"/>
    <n v="1"/>
    <n v="89.99"/>
    <s v="Credit Card"/>
    <x v="2"/>
    <s v="Standard"/>
    <d v="2024-04-11T00:00:00"/>
    <n v="89.99"/>
    <x v="11"/>
    <x v="3"/>
  </r>
  <r>
    <s v="TRX0205"/>
    <d v="2024-08-11T00:00:00"/>
    <s v="CUST025"/>
    <x v="14"/>
    <s v="P007"/>
    <x v="6"/>
    <x v="2"/>
    <n v="5"/>
    <n v="299.99"/>
    <s v="Credit Card"/>
    <x v="2"/>
    <s v="Basic"/>
    <d v="2023-02-08T00:00:00"/>
    <n v="1499.95"/>
    <x v="8"/>
    <x v="2"/>
  </r>
  <r>
    <s v="TRX0020"/>
    <d v="2024-08-13T00:00:00"/>
    <s v="CUST007"/>
    <x v="35"/>
    <s v="P003"/>
    <x v="3"/>
    <x v="0"/>
    <n v="4"/>
    <n v="149.99"/>
    <s v="Debit Card"/>
    <x v="1"/>
    <s v="Premium"/>
    <d v="2022-09-16T00:00:00"/>
    <n v="599.96"/>
    <x v="7"/>
    <x v="1"/>
  </r>
  <r>
    <s v="TRX0075"/>
    <d v="2024-08-13T00:00:00"/>
    <s v="CUST020"/>
    <x v="36"/>
    <s v="P009"/>
    <x v="0"/>
    <x v="0"/>
    <n v="5"/>
    <n v="249.99"/>
    <s v="PayPal"/>
    <x v="4"/>
    <s v="Premium"/>
    <d v="2022-08-09T00:00:00"/>
    <n v="1249.95"/>
    <x v="0"/>
    <x v="1"/>
  </r>
  <r>
    <s v="TRX0098"/>
    <d v="2024-08-13T00:00:00"/>
    <s v="CUST026"/>
    <x v="8"/>
    <s v="P009"/>
    <x v="0"/>
    <x v="0"/>
    <n v="3"/>
    <n v="249.99"/>
    <s v="PayPal"/>
    <x v="2"/>
    <s v="Premium"/>
    <d v="2021-09-26T00:00:00"/>
    <n v="749.97"/>
    <x v="7"/>
    <x v="0"/>
  </r>
  <r>
    <s v="TRX0247"/>
    <d v="2024-08-13T00:00:00"/>
    <s v="CUST046"/>
    <x v="3"/>
    <s v="P006"/>
    <x v="9"/>
    <x v="2"/>
    <n v="4"/>
    <n v="199.99"/>
    <s v="Cash"/>
    <x v="2"/>
    <s v="Standard"/>
    <d v="2021-09-19T00:00:00"/>
    <n v="799.96"/>
    <x v="7"/>
    <x v="0"/>
  </r>
  <r>
    <s v="TRX0027"/>
    <d v="2024-08-15T00:00:00"/>
    <s v="CUST028"/>
    <x v="32"/>
    <s v="P006"/>
    <x v="9"/>
    <x v="2"/>
    <n v="5"/>
    <n v="199.99"/>
    <s v="Cash"/>
    <x v="2"/>
    <s v="Premium"/>
    <d v="2023-03-06T00:00:00"/>
    <n v="999.95"/>
    <x v="4"/>
    <x v="2"/>
  </r>
  <r>
    <s v="TRX0140"/>
    <d v="2024-08-18T00:00:00"/>
    <s v="CUST025"/>
    <x v="14"/>
    <s v="P010"/>
    <x v="8"/>
    <x v="0"/>
    <n v="2"/>
    <n v="89.99"/>
    <s v="Cash"/>
    <x v="4"/>
    <s v="Premium"/>
    <d v="2023-02-15T00:00:00"/>
    <n v="179.98"/>
    <x v="8"/>
    <x v="2"/>
  </r>
  <r>
    <s v="TRX0132"/>
    <d v="2024-08-19T00:00:00"/>
    <s v="CUST047"/>
    <x v="38"/>
    <s v="P001"/>
    <x v="4"/>
    <x v="0"/>
    <n v="5"/>
    <n v="899.99"/>
    <s v="Debit Card"/>
    <x v="4"/>
    <s v="Basic"/>
    <d v="2021-11-26T00:00:00"/>
    <n v="4499.95"/>
    <x v="9"/>
    <x v="0"/>
  </r>
  <r>
    <s v="TRX0031"/>
    <d v="2024-08-19T00:00:00"/>
    <s v="CUST036"/>
    <x v="20"/>
    <s v="P003"/>
    <x v="3"/>
    <x v="0"/>
    <n v="3"/>
    <n v="149.99"/>
    <s v="PayPal"/>
    <x v="4"/>
    <s v="Basic"/>
    <d v="2022-01-13T00:00:00"/>
    <n v="449.97"/>
    <x v="1"/>
    <x v="1"/>
  </r>
  <r>
    <s v="TRX0236"/>
    <d v="2024-08-22T00:00:00"/>
    <s v="CUST044"/>
    <x v="19"/>
    <s v="P008"/>
    <x v="2"/>
    <x v="2"/>
    <n v="5"/>
    <n v="149.99"/>
    <s v="Credit Card"/>
    <x v="0"/>
    <s v="Basic"/>
    <d v="2024-01-19T00:00:00"/>
    <n v="749.95"/>
    <x v="1"/>
    <x v="3"/>
  </r>
  <r>
    <s v="TRX0001"/>
    <d v="2024-08-24T00:00:00"/>
    <s v="CUST039"/>
    <x v="40"/>
    <s v="P004"/>
    <x v="7"/>
    <x v="1"/>
    <n v="3"/>
    <n v="79.989999999999995"/>
    <s v="Cash"/>
    <x v="0"/>
    <s v="Premium"/>
    <d v="2022-08-06T00:00:00"/>
    <n v="239.97"/>
    <x v="0"/>
    <x v="1"/>
  </r>
  <r>
    <s v="TRX0037"/>
    <d v="2024-08-24T00:00:00"/>
    <s v="CUST035"/>
    <x v="28"/>
    <s v="P009"/>
    <x v="0"/>
    <x v="0"/>
    <n v="2"/>
    <n v="249.99"/>
    <s v="Cash"/>
    <x v="1"/>
    <s v="Standard"/>
    <d v="2022-01-11T00:00:00"/>
    <n v="499.98"/>
    <x v="1"/>
    <x v="1"/>
  </r>
  <r>
    <s v="TRX0058"/>
    <d v="2024-08-28T00:00:00"/>
    <s v="CUST047"/>
    <x v="38"/>
    <s v="P002"/>
    <x v="5"/>
    <x v="0"/>
    <n v="1"/>
    <n v="699.99"/>
    <s v="Cash"/>
    <x v="0"/>
    <s v="Premium"/>
    <d v="2021-10-28T00:00:00"/>
    <n v="699.99"/>
    <x v="5"/>
    <x v="0"/>
  </r>
  <r>
    <s v="TRX0170"/>
    <d v="2024-08-28T00:00:00"/>
    <s v="CUST034"/>
    <x v="41"/>
    <s v="P003"/>
    <x v="3"/>
    <x v="0"/>
    <n v="3"/>
    <n v="149.99"/>
    <s v="Cash"/>
    <x v="3"/>
    <s v="Premium"/>
    <d v="2023-10-13T00:00:00"/>
    <n v="449.97"/>
    <x v="5"/>
    <x v="2"/>
  </r>
  <r>
    <s v="TRX0248"/>
    <d v="2024-08-30T00:00:00"/>
    <s v="CUST032"/>
    <x v="42"/>
    <s v="P002"/>
    <x v="5"/>
    <x v="0"/>
    <n v="2"/>
    <n v="699.99"/>
    <s v="Credit Card"/>
    <x v="2"/>
    <s v="Premium"/>
    <d v="2021-08-13T00:00:00"/>
    <n v="1399.98"/>
    <x v="0"/>
    <x v="0"/>
  </r>
  <r>
    <s v="TRX0099"/>
    <d v="2024-09-02T00:00:00"/>
    <s v="CUST034"/>
    <x v="41"/>
    <s v="P009"/>
    <x v="0"/>
    <x v="0"/>
    <n v="1"/>
    <n v="249.99"/>
    <s v="Credit Card"/>
    <x v="3"/>
    <s v="Premium"/>
    <d v="2022-05-04T00:00:00"/>
    <n v="249.99"/>
    <x v="10"/>
    <x v="1"/>
  </r>
  <r>
    <s v="TRX0074"/>
    <d v="2024-09-02T00:00:00"/>
    <s v="CUST023"/>
    <x v="0"/>
    <s v="P009"/>
    <x v="0"/>
    <x v="0"/>
    <n v="1"/>
    <n v="249.99"/>
    <s v="Debit Card"/>
    <x v="2"/>
    <s v="Premium"/>
    <d v="2024-02-10T00:00:00"/>
    <n v="249.99"/>
    <x v="8"/>
    <x v="3"/>
  </r>
  <r>
    <s v="TRX0225"/>
    <d v="2024-09-03T00:00:00"/>
    <s v="CUST039"/>
    <x v="40"/>
    <s v="P002"/>
    <x v="5"/>
    <x v="0"/>
    <n v="2"/>
    <n v="699.99"/>
    <s v="Debit Card"/>
    <x v="0"/>
    <s v="Premium"/>
    <d v="2022-11-05T00:00:00"/>
    <n v="1399.98"/>
    <x v="9"/>
    <x v="1"/>
  </r>
  <r>
    <s v="TRX0100"/>
    <d v="2024-09-06T00:00:00"/>
    <s v="CUST031"/>
    <x v="26"/>
    <s v="P005"/>
    <x v="1"/>
    <x v="1"/>
    <n v="3"/>
    <n v="59.99"/>
    <s v="Credit Card"/>
    <x v="0"/>
    <s v="Premium"/>
    <d v="2022-06-05T00:00:00"/>
    <n v="179.97"/>
    <x v="6"/>
    <x v="1"/>
  </r>
  <r>
    <s v="TRX0142"/>
    <d v="2024-09-09T00:00:00"/>
    <s v="CUST002"/>
    <x v="25"/>
    <s v="P005"/>
    <x v="1"/>
    <x v="1"/>
    <n v="3"/>
    <n v="59.99"/>
    <s v="PayPal"/>
    <x v="4"/>
    <s v="Standard"/>
    <d v="2022-07-06T00:00:00"/>
    <n v="179.97"/>
    <x v="3"/>
    <x v="1"/>
  </r>
  <r>
    <s v="TRX0112"/>
    <d v="2024-09-09T00:00:00"/>
    <s v="CUST008"/>
    <x v="27"/>
    <s v="P004"/>
    <x v="7"/>
    <x v="1"/>
    <n v="4"/>
    <n v="79.989999999999995"/>
    <s v="Cash"/>
    <x v="2"/>
    <s v="Basic"/>
    <d v="2021-11-30T00:00:00"/>
    <n v="319.95999999999998"/>
    <x v="9"/>
    <x v="0"/>
  </r>
  <r>
    <s v="TRX0161"/>
    <d v="2024-09-10T00:00:00"/>
    <s v="CUST017"/>
    <x v="6"/>
    <s v="P004"/>
    <x v="7"/>
    <x v="1"/>
    <n v="1"/>
    <n v="79.989999999999995"/>
    <s v="Cash"/>
    <x v="3"/>
    <s v="Basic"/>
    <d v="2022-05-12T00:00:00"/>
    <n v="79.989999999999995"/>
    <x v="10"/>
    <x v="1"/>
  </r>
  <r>
    <s v="TRX0108"/>
    <d v="2024-09-12T00:00:00"/>
    <s v="CUST024"/>
    <x v="5"/>
    <s v="P007"/>
    <x v="6"/>
    <x v="2"/>
    <n v="3"/>
    <n v="299.99"/>
    <s v="Credit Card"/>
    <x v="0"/>
    <s v="Premium"/>
    <d v="2021-10-25T00:00:00"/>
    <n v="899.97"/>
    <x v="5"/>
    <x v="0"/>
  </r>
  <r>
    <s v="TRX0211"/>
    <d v="2024-09-13T00:00:00"/>
    <s v="CUST046"/>
    <x v="3"/>
    <s v="P010"/>
    <x v="8"/>
    <x v="0"/>
    <n v="2"/>
    <n v="89.99"/>
    <s v="Credit Card"/>
    <x v="1"/>
    <s v="Premium"/>
    <d v="2022-03-21T00:00:00"/>
    <n v="179.98"/>
    <x v="4"/>
    <x v="1"/>
  </r>
  <r>
    <s v="TRX0005"/>
    <d v="2024-09-15T00:00:00"/>
    <s v="CUST042"/>
    <x v="43"/>
    <s v="P003"/>
    <x v="3"/>
    <x v="0"/>
    <n v="4"/>
    <n v="149.99"/>
    <s v="Cash"/>
    <x v="2"/>
    <s v="Basic"/>
    <d v="2022-12-14T00:00:00"/>
    <n v="599.96"/>
    <x v="2"/>
    <x v="1"/>
  </r>
  <r>
    <s v="TRX0195"/>
    <d v="2024-09-16T00:00:00"/>
    <s v="CUST026"/>
    <x v="8"/>
    <s v="P009"/>
    <x v="0"/>
    <x v="0"/>
    <n v="2"/>
    <n v="249.99"/>
    <s v="PayPal"/>
    <x v="1"/>
    <s v="Basic"/>
    <d v="2023-03-08T00:00:00"/>
    <n v="499.98"/>
    <x v="4"/>
    <x v="2"/>
  </r>
  <r>
    <s v="TRX0054"/>
    <d v="2024-09-16T00:00:00"/>
    <s v="CUST004"/>
    <x v="31"/>
    <s v="P006"/>
    <x v="9"/>
    <x v="2"/>
    <n v="4"/>
    <n v="199.99"/>
    <s v="Debit Card"/>
    <x v="4"/>
    <s v="Basic"/>
    <d v="2021-09-19T00:00:00"/>
    <n v="799.96"/>
    <x v="7"/>
    <x v="0"/>
  </r>
  <r>
    <s v="TRX0077"/>
    <d v="2024-09-19T00:00:00"/>
    <s v="CUST019"/>
    <x v="29"/>
    <s v="P010"/>
    <x v="8"/>
    <x v="0"/>
    <n v="5"/>
    <n v="89.99"/>
    <s v="Credit Card"/>
    <x v="4"/>
    <s v="Premium"/>
    <d v="2021-09-07T00:00:00"/>
    <n v="449.95"/>
    <x v="7"/>
    <x v="0"/>
  </r>
  <r>
    <s v="TRX0111"/>
    <d v="2024-09-19T00:00:00"/>
    <s v="CUST011"/>
    <x v="44"/>
    <s v="P003"/>
    <x v="3"/>
    <x v="0"/>
    <n v="1"/>
    <n v="149.99"/>
    <s v="PayPal"/>
    <x v="4"/>
    <s v="Standard"/>
    <d v="2021-10-13T00:00:00"/>
    <n v="149.99"/>
    <x v="5"/>
    <x v="0"/>
  </r>
  <r>
    <s v="TRX0123"/>
    <d v="2024-09-19T00:00:00"/>
    <s v="CUST041"/>
    <x v="10"/>
    <s v="P002"/>
    <x v="5"/>
    <x v="0"/>
    <n v="4"/>
    <n v="699.99"/>
    <s v="PayPal"/>
    <x v="1"/>
    <s v="Basic"/>
    <d v="2022-02-26T00:00:00"/>
    <n v="2799.96"/>
    <x v="8"/>
    <x v="1"/>
  </r>
  <r>
    <s v="TRX0177"/>
    <d v="2024-09-24T00:00:00"/>
    <s v="CUST032"/>
    <x v="42"/>
    <s v="P001"/>
    <x v="4"/>
    <x v="0"/>
    <n v="3"/>
    <n v="899.99"/>
    <s v="Credit Card"/>
    <x v="2"/>
    <s v="Standard"/>
    <d v="2023-08-19T00:00:00"/>
    <n v="2699.97"/>
    <x v="0"/>
    <x v="2"/>
  </r>
  <r>
    <s v="TRX0119"/>
    <d v="2024-09-25T00:00:00"/>
    <s v="CUST014"/>
    <x v="21"/>
    <s v="P008"/>
    <x v="2"/>
    <x v="2"/>
    <n v="3"/>
    <n v="149.99"/>
    <s v="PayPal"/>
    <x v="4"/>
    <s v="Basic"/>
    <d v="2022-11-21T00:00:00"/>
    <n v="449.97"/>
    <x v="9"/>
    <x v="1"/>
  </r>
  <r>
    <s v="TRX0181"/>
    <d v="2024-09-28T00:00:00"/>
    <s v="CUST012"/>
    <x v="18"/>
    <s v="P007"/>
    <x v="6"/>
    <x v="2"/>
    <n v="2"/>
    <n v="299.99"/>
    <s v="Debit Card"/>
    <x v="0"/>
    <s v="Basic"/>
    <d v="2022-01-08T00:00:00"/>
    <n v="599.98"/>
    <x v="1"/>
    <x v="1"/>
  </r>
  <r>
    <s v="TRX0129"/>
    <d v="2024-09-29T00:00:00"/>
    <s v="CUST015"/>
    <x v="45"/>
    <s v="P006"/>
    <x v="9"/>
    <x v="2"/>
    <n v="1"/>
    <n v="199.99"/>
    <s v="Debit Card"/>
    <x v="4"/>
    <s v="Standard"/>
    <d v="2023-01-27T00:00:00"/>
    <n v="199.99"/>
    <x v="1"/>
    <x v="2"/>
  </r>
  <r>
    <s v="TRX0174"/>
    <d v="2024-10-01T00:00:00"/>
    <s v="CUST003"/>
    <x v="4"/>
    <s v="P007"/>
    <x v="6"/>
    <x v="2"/>
    <n v="4"/>
    <n v="299.99"/>
    <s v="Cash"/>
    <x v="0"/>
    <s v="Premium"/>
    <d v="2021-09-21T00:00:00"/>
    <n v="1199.96"/>
    <x v="7"/>
    <x v="0"/>
  </r>
  <r>
    <s v="TRX0146"/>
    <d v="2024-10-07T00:00:00"/>
    <s v="CUST010"/>
    <x v="15"/>
    <s v="P005"/>
    <x v="1"/>
    <x v="1"/>
    <n v="2"/>
    <n v="59.99"/>
    <s v="Credit Card"/>
    <x v="0"/>
    <s v="Basic"/>
    <d v="2022-01-18T00:00:00"/>
    <n v="119.98"/>
    <x v="1"/>
    <x v="1"/>
  </r>
  <r>
    <s v="TRX0203"/>
    <d v="2024-10-07T00:00:00"/>
    <s v="CUST032"/>
    <x v="42"/>
    <s v="P003"/>
    <x v="3"/>
    <x v="0"/>
    <n v="4"/>
    <n v="149.99"/>
    <s v="Credit Card"/>
    <x v="2"/>
    <s v="Premium"/>
    <d v="2023-05-30T00:00:00"/>
    <n v="599.96"/>
    <x v="10"/>
    <x v="2"/>
  </r>
  <r>
    <s v="TRX0055"/>
    <d v="2024-10-08T00:00:00"/>
    <s v="CUST016"/>
    <x v="39"/>
    <s v="P002"/>
    <x v="5"/>
    <x v="0"/>
    <n v="2"/>
    <n v="699.99"/>
    <s v="Debit Card"/>
    <x v="4"/>
    <s v="Premium"/>
    <d v="2023-12-14T00:00:00"/>
    <n v="1399.98"/>
    <x v="2"/>
    <x v="2"/>
  </r>
  <r>
    <s v="TRX0218"/>
    <d v="2024-10-08T00:00:00"/>
    <s v="CUST034"/>
    <x v="41"/>
    <s v="P008"/>
    <x v="2"/>
    <x v="2"/>
    <n v="3"/>
    <n v="149.99"/>
    <s v="Credit Card"/>
    <x v="1"/>
    <s v="Standard"/>
    <d v="2023-01-14T00:00:00"/>
    <n v="449.97"/>
    <x v="1"/>
    <x v="2"/>
  </r>
  <r>
    <s v="TRX0085"/>
    <d v="2024-10-11T00:00:00"/>
    <s v="CUST019"/>
    <x v="29"/>
    <s v="P007"/>
    <x v="6"/>
    <x v="2"/>
    <n v="3"/>
    <n v="299.99"/>
    <s v="Credit Card"/>
    <x v="0"/>
    <s v="Standard"/>
    <d v="2023-09-05T00:00:00"/>
    <n v="899.97"/>
    <x v="7"/>
    <x v="2"/>
  </r>
  <r>
    <s v="TRX0158"/>
    <d v="2024-10-14T00:00:00"/>
    <s v="CUST027"/>
    <x v="13"/>
    <s v="P001"/>
    <x v="4"/>
    <x v="0"/>
    <n v="3"/>
    <n v="899.99"/>
    <s v="PayPal"/>
    <x v="3"/>
    <s v="Basic"/>
    <d v="2023-10-16T00:00:00"/>
    <n v="2699.97"/>
    <x v="5"/>
    <x v="2"/>
  </r>
  <r>
    <s v="TRX0173"/>
    <d v="2024-10-16T00:00:00"/>
    <s v="CUST018"/>
    <x v="17"/>
    <s v="P002"/>
    <x v="5"/>
    <x v="0"/>
    <n v="5"/>
    <n v="699.99"/>
    <s v="Cash"/>
    <x v="4"/>
    <s v="Standard"/>
    <d v="2023-03-23T00:00:00"/>
    <n v="3499.95"/>
    <x v="4"/>
    <x v="2"/>
  </r>
  <r>
    <s v="TRX0034"/>
    <d v="2024-10-16T00:00:00"/>
    <s v="CUST049"/>
    <x v="34"/>
    <s v="P002"/>
    <x v="5"/>
    <x v="0"/>
    <n v="4"/>
    <n v="699.99"/>
    <s v="Credit Card"/>
    <x v="0"/>
    <s v="Basic"/>
    <d v="2024-04-03T00:00:00"/>
    <n v="2799.96"/>
    <x v="11"/>
    <x v="3"/>
  </r>
  <r>
    <s v="TRX0189"/>
    <d v="2024-10-16T00:00:00"/>
    <s v="CUST040"/>
    <x v="30"/>
    <s v="P001"/>
    <x v="4"/>
    <x v="0"/>
    <n v="1"/>
    <n v="899.99"/>
    <s v="Credit Card"/>
    <x v="4"/>
    <s v="Standard"/>
    <d v="2024-03-18T00:00:00"/>
    <n v="899.99"/>
    <x v="4"/>
    <x v="3"/>
  </r>
  <r>
    <s v="TRX0190"/>
    <d v="2024-10-18T00:00:00"/>
    <s v="CUST039"/>
    <x v="40"/>
    <s v="P003"/>
    <x v="3"/>
    <x v="0"/>
    <n v="2"/>
    <n v="149.99"/>
    <s v="Credit Card"/>
    <x v="3"/>
    <s v="Basic"/>
    <d v="2022-12-21T00:00:00"/>
    <n v="299.98"/>
    <x v="2"/>
    <x v="1"/>
  </r>
  <r>
    <s v="TRX0079"/>
    <d v="2024-10-21T00:00:00"/>
    <s v="CUST039"/>
    <x v="40"/>
    <s v="P010"/>
    <x v="8"/>
    <x v="0"/>
    <n v="3"/>
    <n v="89.99"/>
    <s v="PayPal"/>
    <x v="0"/>
    <s v="Basic"/>
    <d v="2021-12-21T00:00:00"/>
    <n v="269.97000000000003"/>
    <x v="2"/>
    <x v="0"/>
  </r>
  <r>
    <s v="TRX0095"/>
    <d v="2024-10-23T00:00:00"/>
    <s v="CUST046"/>
    <x v="3"/>
    <s v="P003"/>
    <x v="3"/>
    <x v="0"/>
    <n v="2"/>
    <n v="149.99"/>
    <s v="PayPal"/>
    <x v="0"/>
    <s v="Basic"/>
    <d v="2021-10-04T00:00:00"/>
    <n v="299.98"/>
    <x v="5"/>
    <x v="0"/>
  </r>
  <r>
    <s v="TRX0009"/>
    <d v="2024-10-23T00:00:00"/>
    <s v="CUST004"/>
    <x v="31"/>
    <s v="P002"/>
    <x v="5"/>
    <x v="0"/>
    <n v="2"/>
    <n v="699.99"/>
    <s v="Cash"/>
    <x v="0"/>
    <s v="Basic"/>
    <d v="2023-03-07T00:00:00"/>
    <n v="1399.98"/>
    <x v="4"/>
    <x v="2"/>
  </r>
  <r>
    <s v="TRX0167"/>
    <d v="2024-10-24T00:00:00"/>
    <s v="CUST028"/>
    <x v="32"/>
    <s v="P002"/>
    <x v="5"/>
    <x v="0"/>
    <n v="5"/>
    <n v="699.99"/>
    <s v="Cash"/>
    <x v="2"/>
    <s v="Premium"/>
    <d v="2022-03-15T00:00:00"/>
    <n v="3499.95"/>
    <x v="4"/>
    <x v="1"/>
  </r>
  <r>
    <s v="TRX0153"/>
    <d v="2024-10-27T00:00:00"/>
    <s v="CUST049"/>
    <x v="34"/>
    <s v="P010"/>
    <x v="8"/>
    <x v="0"/>
    <n v="3"/>
    <n v="89.99"/>
    <s v="Credit Card"/>
    <x v="2"/>
    <s v="Standard"/>
    <d v="2022-02-23T00:00:00"/>
    <n v="269.97000000000003"/>
    <x v="8"/>
    <x v="1"/>
  </r>
  <r>
    <s v="TRX0057"/>
    <d v="2024-11-01T00:00:00"/>
    <s v="CUST023"/>
    <x v="0"/>
    <s v="P009"/>
    <x v="0"/>
    <x v="0"/>
    <n v="5"/>
    <n v="249.99"/>
    <s v="Credit Card"/>
    <x v="1"/>
    <s v="Standard"/>
    <d v="2022-11-16T00:00:00"/>
    <n v="1249.95"/>
    <x v="9"/>
    <x v="1"/>
  </r>
  <r>
    <s v="TRX0017"/>
    <d v="2024-11-04T00:00:00"/>
    <s v="CUST026"/>
    <x v="8"/>
    <s v="P007"/>
    <x v="6"/>
    <x v="2"/>
    <n v="3"/>
    <n v="299.99"/>
    <s v="Credit Card"/>
    <x v="1"/>
    <s v="Standard"/>
    <d v="2021-11-02T00:00:00"/>
    <n v="899.97"/>
    <x v="9"/>
    <x v="0"/>
  </r>
  <r>
    <s v="TRX0060"/>
    <d v="2024-11-07T00:00:00"/>
    <s v="CUST012"/>
    <x v="18"/>
    <s v="P010"/>
    <x v="8"/>
    <x v="0"/>
    <n v="3"/>
    <n v="89.99"/>
    <s v="Credit Card"/>
    <x v="2"/>
    <s v="Premium"/>
    <d v="2021-08-12T00:00:00"/>
    <n v="269.97000000000003"/>
    <x v="0"/>
    <x v="0"/>
  </r>
  <r>
    <s v="TRX0109"/>
    <d v="2024-11-08T00:00:00"/>
    <s v="CUST010"/>
    <x v="15"/>
    <s v="P008"/>
    <x v="2"/>
    <x v="2"/>
    <n v="2"/>
    <n v="149.99"/>
    <s v="Credit Card"/>
    <x v="3"/>
    <s v="Premium"/>
    <d v="2022-10-14T00:00:00"/>
    <n v="299.98"/>
    <x v="5"/>
    <x v="1"/>
  </r>
  <r>
    <s v="TRX0090"/>
    <d v="2024-11-09T00:00:00"/>
    <s v="CUST020"/>
    <x v="36"/>
    <s v="P009"/>
    <x v="0"/>
    <x v="0"/>
    <n v="1"/>
    <n v="249.99"/>
    <s v="Credit Card"/>
    <x v="2"/>
    <s v="Premium"/>
    <d v="2022-09-24T00:00:00"/>
    <n v="249.99"/>
    <x v="7"/>
    <x v="1"/>
  </r>
  <r>
    <s v="TRX0035"/>
    <d v="2024-11-11T00:00:00"/>
    <s v="CUST041"/>
    <x v="10"/>
    <s v="P003"/>
    <x v="3"/>
    <x v="0"/>
    <n v="3"/>
    <n v="149.99"/>
    <s v="Cash"/>
    <x v="2"/>
    <s v="Basic"/>
    <d v="2022-07-27T00:00:00"/>
    <n v="449.97"/>
    <x v="3"/>
    <x v="1"/>
  </r>
  <r>
    <s v="TRX0172"/>
    <d v="2024-11-11T00:00:00"/>
    <s v="CUST023"/>
    <x v="0"/>
    <s v="P005"/>
    <x v="1"/>
    <x v="1"/>
    <n v="5"/>
    <n v="59.99"/>
    <s v="PayPal"/>
    <x v="3"/>
    <s v="Premium"/>
    <d v="2022-05-13T00:00:00"/>
    <n v="299.95"/>
    <x v="10"/>
    <x v="1"/>
  </r>
  <r>
    <s v="TRX0076"/>
    <d v="2024-11-11T00:00:00"/>
    <s v="CUST012"/>
    <x v="18"/>
    <s v="P009"/>
    <x v="0"/>
    <x v="0"/>
    <n v="4"/>
    <n v="249.99"/>
    <s v="Credit Card"/>
    <x v="3"/>
    <s v="Standard"/>
    <d v="2022-04-08T00:00:00"/>
    <n v="999.96"/>
    <x v="11"/>
    <x v="1"/>
  </r>
  <r>
    <s v="TRX0210"/>
    <d v="2024-11-12T00:00:00"/>
    <s v="CUST004"/>
    <x v="31"/>
    <s v="P008"/>
    <x v="2"/>
    <x v="2"/>
    <n v="5"/>
    <n v="149.99"/>
    <s v="PayPal"/>
    <x v="0"/>
    <s v="Basic"/>
    <d v="2022-12-06T00:00:00"/>
    <n v="749.95"/>
    <x v="2"/>
    <x v="1"/>
  </r>
  <r>
    <s v="TRX0149"/>
    <d v="2024-11-12T00:00:00"/>
    <s v="CUST027"/>
    <x v="13"/>
    <s v="P005"/>
    <x v="1"/>
    <x v="1"/>
    <n v="3"/>
    <n v="59.99"/>
    <s v="Debit Card"/>
    <x v="1"/>
    <s v="Standard"/>
    <d v="2023-11-30T00:00:00"/>
    <n v="179.97"/>
    <x v="9"/>
    <x v="2"/>
  </r>
  <r>
    <s v="TRX0073"/>
    <d v="2024-11-17T00:00:00"/>
    <s v="CUST032"/>
    <x v="42"/>
    <s v="P008"/>
    <x v="2"/>
    <x v="2"/>
    <n v="5"/>
    <n v="149.99"/>
    <s v="Cash"/>
    <x v="2"/>
    <s v="Basic"/>
    <d v="2022-11-04T00:00:00"/>
    <n v="749.95"/>
    <x v="9"/>
    <x v="1"/>
  </r>
  <r>
    <s v="TRX0033"/>
    <d v="2024-11-17T00:00:00"/>
    <s v="CUST025"/>
    <x v="14"/>
    <s v="P002"/>
    <x v="5"/>
    <x v="0"/>
    <n v="2"/>
    <n v="699.99"/>
    <s v="PayPal"/>
    <x v="3"/>
    <s v="Standard"/>
    <d v="2022-07-28T00:00:00"/>
    <n v="1399.98"/>
    <x v="3"/>
    <x v="1"/>
  </r>
  <r>
    <s v="TRX0160"/>
    <d v="2024-11-21T00:00:00"/>
    <s v="CUST029"/>
    <x v="23"/>
    <s v="P006"/>
    <x v="9"/>
    <x v="2"/>
    <n v="4"/>
    <n v="199.99"/>
    <s v="Debit Card"/>
    <x v="0"/>
    <s v="Premium"/>
    <d v="2021-08-19T00:00:00"/>
    <n v="799.96"/>
    <x v="0"/>
    <x v="0"/>
  </r>
  <r>
    <s v="TRX0145"/>
    <d v="2024-11-23T00:00:00"/>
    <s v="CUST033"/>
    <x v="37"/>
    <s v="P005"/>
    <x v="1"/>
    <x v="1"/>
    <n v="1"/>
    <n v="59.99"/>
    <s v="Debit Card"/>
    <x v="3"/>
    <s v="Standard"/>
    <d v="2021-12-30T00:00:00"/>
    <n v="59.99"/>
    <x v="2"/>
    <x v="0"/>
  </r>
  <r>
    <s v="TRX0148"/>
    <d v="2024-11-23T00:00:00"/>
    <s v="CUST004"/>
    <x v="31"/>
    <s v="P002"/>
    <x v="5"/>
    <x v="0"/>
    <n v="3"/>
    <n v="699.99"/>
    <s v="PayPal"/>
    <x v="3"/>
    <s v="Standard"/>
    <d v="2022-01-22T00:00:00"/>
    <n v="2099.9699999999998"/>
    <x v="1"/>
    <x v="1"/>
  </r>
  <r>
    <s v="TRX0012"/>
    <d v="2024-11-26T00:00:00"/>
    <s v="CUST045"/>
    <x v="46"/>
    <s v="P009"/>
    <x v="0"/>
    <x v="0"/>
    <n v="5"/>
    <n v="249.99"/>
    <s v="Credit Card"/>
    <x v="2"/>
    <s v="Basic"/>
    <d v="2022-11-08T00:00:00"/>
    <n v="1249.95"/>
    <x v="9"/>
    <x v="1"/>
  </r>
  <r>
    <s v="TRX0206"/>
    <d v="2024-11-27T00:00:00"/>
    <s v="CUST014"/>
    <x v="21"/>
    <s v="P008"/>
    <x v="2"/>
    <x v="2"/>
    <n v="2"/>
    <n v="149.99"/>
    <s v="Cash"/>
    <x v="1"/>
    <s v="Standard"/>
    <d v="2023-06-24T00:00:00"/>
    <n v="299.98"/>
    <x v="6"/>
    <x v="2"/>
  </r>
  <r>
    <s v="TRX0045"/>
    <d v="2024-12-01T00:00:00"/>
    <s v="CUST021"/>
    <x v="2"/>
    <s v="P007"/>
    <x v="6"/>
    <x v="2"/>
    <n v="3"/>
    <n v="299.99"/>
    <s v="Cash"/>
    <x v="1"/>
    <s v="Premium"/>
    <d v="2022-04-08T00:00:00"/>
    <n v="899.97"/>
    <x v="11"/>
    <x v="1"/>
  </r>
  <r>
    <s v="TRX0094"/>
    <d v="2024-12-01T00:00:00"/>
    <s v="CUST017"/>
    <x v="6"/>
    <s v="P009"/>
    <x v="0"/>
    <x v="0"/>
    <n v="5"/>
    <n v="249.99"/>
    <s v="Cash"/>
    <x v="0"/>
    <s v="Premium"/>
    <d v="2021-10-16T00:00:00"/>
    <n v="1249.95"/>
    <x v="5"/>
    <x v="0"/>
  </r>
  <r>
    <s v="TRX0133"/>
    <d v="2024-12-01T00:00:00"/>
    <s v="CUST013"/>
    <x v="1"/>
    <s v="P003"/>
    <x v="3"/>
    <x v="0"/>
    <n v="2"/>
    <n v="149.99"/>
    <s v="Cash"/>
    <x v="1"/>
    <s v="Premium"/>
    <d v="2021-10-06T00:00:00"/>
    <n v="299.98"/>
    <x v="5"/>
    <x v="0"/>
  </r>
  <r>
    <s v="TRX0201"/>
    <d v="2024-12-01T00:00:00"/>
    <s v="CUST025"/>
    <x v="14"/>
    <s v="P002"/>
    <x v="5"/>
    <x v="0"/>
    <n v="5"/>
    <n v="699.99"/>
    <s v="Debit Card"/>
    <x v="3"/>
    <s v="Standard"/>
    <d v="2023-01-18T00:00:00"/>
    <n v="3499.95"/>
    <x v="1"/>
    <x v="2"/>
  </r>
  <r>
    <s v="TRX0137"/>
    <d v="2024-12-03T00:00:00"/>
    <s v="CUST011"/>
    <x v="44"/>
    <s v="P009"/>
    <x v="0"/>
    <x v="0"/>
    <n v="4"/>
    <n v="249.99"/>
    <s v="PayPal"/>
    <x v="4"/>
    <s v="Premium"/>
    <d v="2023-06-21T00:00:00"/>
    <n v="999.96"/>
    <x v="6"/>
    <x v="2"/>
  </r>
  <r>
    <s v="TRX0066"/>
    <d v="2024-12-04T00:00:00"/>
    <s v="CUST024"/>
    <x v="5"/>
    <s v="P002"/>
    <x v="5"/>
    <x v="0"/>
    <n v="4"/>
    <n v="699.99"/>
    <s v="Credit Card"/>
    <x v="2"/>
    <s v="Premium"/>
    <d v="2022-05-22T00:00:00"/>
    <n v="2799.96"/>
    <x v="10"/>
    <x v="1"/>
  </r>
  <r>
    <s v="TRX0180"/>
    <d v="2024-12-09T00:00:00"/>
    <s v="CUST036"/>
    <x v="20"/>
    <s v="P009"/>
    <x v="0"/>
    <x v="0"/>
    <n v="2"/>
    <n v="249.99"/>
    <s v="Credit Card"/>
    <x v="0"/>
    <s v="Premium"/>
    <d v="2021-07-19T00:00:00"/>
    <n v="499.98"/>
    <x v="3"/>
    <x v="0"/>
  </r>
  <r>
    <s v="TRX0082"/>
    <d v="2024-12-09T00:00:00"/>
    <s v="CUST005"/>
    <x v="47"/>
    <s v="P005"/>
    <x v="1"/>
    <x v="1"/>
    <n v="3"/>
    <n v="59.99"/>
    <s v="Cash"/>
    <x v="0"/>
    <s v="Premium"/>
    <d v="2023-05-06T00:00:00"/>
    <n v="179.97"/>
    <x v="10"/>
    <x v="2"/>
  </r>
  <r>
    <s v="TRX0036"/>
    <d v="2024-12-09T00:00:00"/>
    <s v="CUST008"/>
    <x v="27"/>
    <s v="P004"/>
    <x v="7"/>
    <x v="1"/>
    <n v="4"/>
    <n v="79.989999999999995"/>
    <s v="Debit Card"/>
    <x v="4"/>
    <s v="Standard"/>
    <d v="2022-12-26T00:00:00"/>
    <n v="319.95999999999998"/>
    <x v="2"/>
    <x v="1"/>
  </r>
  <r>
    <s v="TRX0198"/>
    <d v="2024-12-10T00:00:00"/>
    <s v="CUST030"/>
    <x v="22"/>
    <s v="P004"/>
    <x v="7"/>
    <x v="1"/>
    <n v="3"/>
    <n v="79.989999999999995"/>
    <s v="Debit Card"/>
    <x v="4"/>
    <s v="Standard"/>
    <d v="2022-08-06T00:00:00"/>
    <n v="239.97"/>
    <x v="0"/>
    <x v="1"/>
  </r>
  <r>
    <s v="TRX0032"/>
    <d v="2024-12-12T00:00:00"/>
    <s v="CUST041"/>
    <x v="10"/>
    <s v="P001"/>
    <x v="4"/>
    <x v="0"/>
    <n v="2"/>
    <n v="899.99"/>
    <s v="Cash"/>
    <x v="2"/>
    <s v="Basic"/>
    <d v="2021-07-29T00:00:00"/>
    <n v="1799.98"/>
    <x v="3"/>
    <x v="0"/>
  </r>
  <r>
    <s v="TRX0081"/>
    <d v="2024-12-15T00:00:00"/>
    <s v="CUST007"/>
    <x v="35"/>
    <s v="P008"/>
    <x v="2"/>
    <x v="2"/>
    <n v="1"/>
    <n v="149.99"/>
    <s v="Debit Card"/>
    <x v="4"/>
    <s v="Standard"/>
    <d v="2023-10-01T00:00:00"/>
    <n v="149.99"/>
    <x v="5"/>
    <x v="2"/>
  </r>
  <r>
    <s v="TRX0224"/>
    <d v="2024-12-15T00:00:00"/>
    <s v="CUST031"/>
    <x v="26"/>
    <s v="P007"/>
    <x v="6"/>
    <x v="2"/>
    <n v="2"/>
    <n v="299.99"/>
    <s v="Cash"/>
    <x v="4"/>
    <s v="Premium"/>
    <d v="2022-06-12T00:00:00"/>
    <n v="599.98"/>
    <x v="6"/>
    <x v="1"/>
  </r>
  <r>
    <s v="TRX0028"/>
    <d v="2024-12-18T00:00:00"/>
    <s v="CUST002"/>
    <x v="25"/>
    <s v="P005"/>
    <x v="1"/>
    <x v="1"/>
    <n v="2"/>
    <n v="59.99"/>
    <s v="Cash"/>
    <x v="3"/>
    <s v="Basic"/>
    <d v="2023-09-22T00:00:00"/>
    <n v="119.98"/>
    <x v="7"/>
    <x v="2"/>
  </r>
  <r>
    <s v="TRX0183"/>
    <d v="2024-12-19T00:00:00"/>
    <s v="CUST007"/>
    <x v="35"/>
    <s v="P010"/>
    <x v="8"/>
    <x v="0"/>
    <n v="1"/>
    <n v="89.99"/>
    <s v="Debit Card"/>
    <x v="0"/>
    <s v="Standard"/>
    <d v="2022-07-18T00:00:00"/>
    <n v="89.99"/>
    <x v="3"/>
    <x v="1"/>
  </r>
  <r>
    <s v="TRX0163"/>
    <d v="2024-12-19T00:00:00"/>
    <s v="CUST019"/>
    <x v="29"/>
    <s v="P001"/>
    <x v="4"/>
    <x v="0"/>
    <n v="5"/>
    <n v="899.99"/>
    <s v="Debit Card"/>
    <x v="4"/>
    <s v="Standard"/>
    <d v="2022-03-05T00:00:00"/>
    <n v="4499.95"/>
    <x v="4"/>
    <x v="1"/>
  </r>
  <r>
    <s v="TRX0046"/>
    <d v="2024-12-20T00:00:00"/>
    <s v="CUST003"/>
    <x v="4"/>
    <s v="P008"/>
    <x v="2"/>
    <x v="2"/>
    <n v="2"/>
    <n v="149.99"/>
    <s v="Cash"/>
    <x v="1"/>
    <s v="Basic"/>
    <d v="2023-11-09T00:00:00"/>
    <n v="299.98"/>
    <x v="9"/>
    <x v="2"/>
  </r>
  <r>
    <s v="TRX0164"/>
    <d v="2024-12-22T00:00:00"/>
    <s v="CUST014"/>
    <x v="21"/>
    <s v="P003"/>
    <x v="3"/>
    <x v="0"/>
    <n v="2"/>
    <n v="149.99"/>
    <s v="Debit Card"/>
    <x v="3"/>
    <s v="Premium"/>
    <d v="2023-12-20T00:00:00"/>
    <n v="299.98"/>
    <x v="2"/>
    <x v="2"/>
  </r>
  <r>
    <s v="TRX0008"/>
    <d v="2024-12-22T00:00:00"/>
    <s v="CUST007"/>
    <x v="35"/>
    <s v="P008"/>
    <x v="2"/>
    <x v="2"/>
    <n v="3"/>
    <n v="149.99"/>
    <s v="Debit Card"/>
    <x v="2"/>
    <s v="Standard"/>
    <d v="2021-11-22T00:00:00"/>
    <n v="449.97"/>
    <x v="9"/>
    <x v="0"/>
  </r>
  <r>
    <s v="TRX0171"/>
    <d v="2024-12-23T00:00:00"/>
    <s v="CUST021"/>
    <x v="2"/>
    <s v="P007"/>
    <x v="6"/>
    <x v="2"/>
    <n v="2"/>
    <n v="299.99"/>
    <s v="PayPal"/>
    <x v="1"/>
    <s v="Basic"/>
    <d v="2022-06-09T00:00:00"/>
    <n v="599.98"/>
    <x v="6"/>
    <x v="1"/>
  </r>
  <r>
    <s v="TRX0143"/>
    <d v="2024-12-28T00:00:00"/>
    <s v="CUST003"/>
    <x v="4"/>
    <s v="P007"/>
    <x v="6"/>
    <x v="2"/>
    <n v="2"/>
    <n v="299.99"/>
    <s v="Cash"/>
    <x v="3"/>
    <s v="Basic"/>
    <d v="2022-07-29T00:00:00"/>
    <n v="599.98"/>
    <x v="3"/>
    <x v="1"/>
  </r>
  <r>
    <s v="TRX0165"/>
    <d v="2024-12-28T00:00:00"/>
    <s v="CUST030"/>
    <x v="22"/>
    <s v="P006"/>
    <x v="9"/>
    <x v="2"/>
    <n v="4"/>
    <n v="199.99"/>
    <s v="Credit Card"/>
    <x v="0"/>
    <s v="Basic"/>
    <d v="2021-11-23T00:00:00"/>
    <n v="799.96"/>
    <x v="9"/>
    <x v="0"/>
  </r>
  <r>
    <s v="TRX0156"/>
    <d v="2024-12-29T00:00:00"/>
    <s v="CUST009"/>
    <x v="7"/>
    <s v="P010"/>
    <x v="8"/>
    <x v="0"/>
    <n v="1"/>
    <n v="89.99"/>
    <s v="Credit Card"/>
    <x v="1"/>
    <s v="Premium"/>
    <d v="2022-01-30T00:00:00"/>
    <n v="89.99"/>
    <x v="1"/>
    <x v="1"/>
  </r>
  <r>
    <s v="TRX0147"/>
    <d v="2024-12-29T00:00:00"/>
    <s v="CUST036"/>
    <x v="20"/>
    <s v="P008"/>
    <x v="2"/>
    <x v="2"/>
    <n v="5"/>
    <n v="149.99"/>
    <s v="Cash"/>
    <x v="0"/>
    <s v="Premium"/>
    <d v="2024-02-25T00:00:00"/>
    <n v="749.95"/>
    <x v="8"/>
    <x v="3"/>
  </r>
  <r>
    <s v="TRX0207"/>
    <d v="2024-12-31T00:00:00"/>
    <s v="CUST025"/>
    <x v="14"/>
    <s v="P001"/>
    <x v="4"/>
    <x v="0"/>
    <n v="1"/>
    <n v="899.99"/>
    <s v="PayPal"/>
    <x v="2"/>
    <s v="Premium"/>
    <d v="2023-05-04T00:00:00"/>
    <n v="899.99"/>
    <x v="10"/>
    <x v="2"/>
  </r>
  <r>
    <s v="TRX0056"/>
    <d v="2025-01-03T00:00:00"/>
    <s v="CUST019"/>
    <x v="29"/>
    <s v="P010"/>
    <x v="8"/>
    <x v="0"/>
    <n v="2"/>
    <n v="89.99"/>
    <s v="Credit Card"/>
    <x v="1"/>
    <s v="Premium"/>
    <d v="2022-01-03T00:00:00"/>
    <n v="179.98"/>
    <x v="1"/>
    <x v="1"/>
  </r>
  <r>
    <s v="TRX0026"/>
    <d v="2025-01-04T00:00:00"/>
    <s v="CUST037"/>
    <x v="48"/>
    <s v="P001"/>
    <x v="4"/>
    <x v="0"/>
    <n v="1"/>
    <n v="899.99"/>
    <s v="PayPal"/>
    <x v="2"/>
    <s v="Standard"/>
    <d v="2022-07-10T00:00:00"/>
    <n v="899.99"/>
    <x v="3"/>
    <x v="1"/>
  </r>
  <r>
    <s v="TRX0237"/>
    <d v="2025-01-06T00:00:00"/>
    <s v="CUST006"/>
    <x v="24"/>
    <s v="P003"/>
    <x v="3"/>
    <x v="0"/>
    <n v="5"/>
    <n v="149.99"/>
    <s v="PayPal"/>
    <x v="4"/>
    <s v="Premium"/>
    <d v="2022-09-20T00:00:00"/>
    <n v="749.95"/>
    <x v="7"/>
    <x v="1"/>
  </r>
  <r>
    <s v="TRX0091"/>
    <d v="2025-01-06T00:00:00"/>
    <s v="CUST003"/>
    <x v="4"/>
    <s v="P007"/>
    <x v="6"/>
    <x v="2"/>
    <n v="3"/>
    <n v="299.99"/>
    <s v="Cash"/>
    <x v="1"/>
    <s v="Standard"/>
    <d v="2021-08-14T00:00:00"/>
    <n v="899.97"/>
    <x v="0"/>
    <x v="0"/>
  </r>
  <r>
    <s v="TRX0125"/>
    <d v="2025-01-09T00:00:00"/>
    <s v="CUST026"/>
    <x v="8"/>
    <s v="P002"/>
    <x v="5"/>
    <x v="0"/>
    <n v="3"/>
    <n v="699.99"/>
    <s v="Credit Card"/>
    <x v="0"/>
    <s v="Premium"/>
    <d v="2023-06-28T00:00:00"/>
    <n v="2099.9699999999998"/>
    <x v="6"/>
    <x v="2"/>
  </r>
  <r>
    <s v="TRX0223"/>
    <d v="2025-01-10T00:00:00"/>
    <s v="CUST036"/>
    <x v="20"/>
    <s v="P006"/>
    <x v="9"/>
    <x v="2"/>
    <n v="5"/>
    <n v="199.99"/>
    <s v="PayPal"/>
    <x v="0"/>
    <s v="Standard"/>
    <d v="2022-03-13T00:00:00"/>
    <n v="999.95"/>
    <x v="4"/>
    <x v="1"/>
  </r>
  <r>
    <s v="TRX0243"/>
    <d v="2025-01-10T00:00:00"/>
    <s v="CUST048"/>
    <x v="16"/>
    <s v="P009"/>
    <x v="0"/>
    <x v="0"/>
    <n v="5"/>
    <n v="249.99"/>
    <s v="Credit Card"/>
    <x v="1"/>
    <s v="Basic"/>
    <d v="2024-02-08T00:00:00"/>
    <n v="1249.95"/>
    <x v="8"/>
    <x v="3"/>
  </r>
  <r>
    <s v="TRX0084"/>
    <d v="2025-01-11T00:00:00"/>
    <s v="CUST031"/>
    <x v="26"/>
    <s v="P003"/>
    <x v="3"/>
    <x v="0"/>
    <n v="4"/>
    <n v="149.99"/>
    <s v="Debit Card"/>
    <x v="4"/>
    <s v="Standard"/>
    <d v="2021-12-06T00:00:00"/>
    <n v="599.96"/>
    <x v="2"/>
    <x v="0"/>
  </r>
  <r>
    <s v="TRX0238"/>
    <d v="2025-01-11T00:00:00"/>
    <s v="CUST038"/>
    <x v="12"/>
    <s v="P002"/>
    <x v="5"/>
    <x v="0"/>
    <n v="3"/>
    <n v="699.99"/>
    <s v="Cash"/>
    <x v="2"/>
    <s v="Premium"/>
    <d v="2022-02-10T00:00:00"/>
    <n v="2099.9699999999998"/>
    <x v="8"/>
    <x v="1"/>
  </r>
  <r>
    <s v="TRX0102"/>
    <d v="2025-01-13T00:00:00"/>
    <s v="CUST045"/>
    <x v="46"/>
    <s v="P004"/>
    <x v="7"/>
    <x v="1"/>
    <n v="1"/>
    <n v="79.989999999999995"/>
    <s v="Credit Card"/>
    <x v="1"/>
    <s v="Basic"/>
    <d v="2024-01-31T00:00:00"/>
    <n v="79.989999999999995"/>
    <x v="1"/>
    <x v="3"/>
  </r>
  <r>
    <s v="TRX0022"/>
    <d v="2025-01-13T00:00:00"/>
    <s v="CUST025"/>
    <x v="14"/>
    <s v="P007"/>
    <x v="6"/>
    <x v="2"/>
    <n v="1"/>
    <n v="299.99"/>
    <s v="Credit Card"/>
    <x v="2"/>
    <s v="Basic"/>
    <d v="2021-08-28T00:00:00"/>
    <n v="299.99"/>
    <x v="0"/>
    <x v="0"/>
  </r>
  <r>
    <s v="TRX0087"/>
    <d v="2025-01-14T00:00:00"/>
    <s v="CUST028"/>
    <x v="32"/>
    <s v="P009"/>
    <x v="0"/>
    <x v="0"/>
    <n v="4"/>
    <n v="249.99"/>
    <s v="Credit Card"/>
    <x v="2"/>
    <s v="Premium"/>
    <d v="2021-09-21T00:00:00"/>
    <n v="999.96"/>
    <x v="7"/>
    <x v="0"/>
  </r>
  <r>
    <s v="TRX0107"/>
    <d v="2025-01-14T00:00:00"/>
    <s v="CUST030"/>
    <x v="22"/>
    <s v="P003"/>
    <x v="3"/>
    <x v="0"/>
    <n v="2"/>
    <n v="149.99"/>
    <s v="Cash"/>
    <x v="2"/>
    <s v="Standard"/>
    <d v="2022-12-18T00:00:00"/>
    <n v="299.98"/>
    <x v="2"/>
    <x v="1"/>
  </r>
  <r>
    <s v="TRX0051"/>
    <d v="2025-01-14T00:00:00"/>
    <s v="CUST032"/>
    <x v="42"/>
    <s v="P007"/>
    <x v="6"/>
    <x v="2"/>
    <n v="3"/>
    <n v="299.99"/>
    <s v="Credit Card"/>
    <x v="1"/>
    <s v="Basic"/>
    <d v="2023-10-05T00:00:00"/>
    <n v="899.97"/>
    <x v="5"/>
    <x v="2"/>
  </r>
  <r>
    <s v="TRX0106"/>
    <d v="2025-01-16T00:00:00"/>
    <s v="CUST039"/>
    <x v="40"/>
    <s v="P006"/>
    <x v="9"/>
    <x v="2"/>
    <n v="4"/>
    <n v="199.99"/>
    <s v="Debit Card"/>
    <x v="1"/>
    <s v="Standard"/>
    <d v="2021-12-14T00:00:00"/>
    <n v="799.96"/>
    <x v="2"/>
    <x v="0"/>
  </r>
  <r>
    <s v="TRX0059"/>
    <d v="2025-01-16T00:00:00"/>
    <s v="CUST016"/>
    <x v="39"/>
    <s v="P007"/>
    <x v="6"/>
    <x v="2"/>
    <n v="5"/>
    <n v="299.99"/>
    <s v="Debit Card"/>
    <x v="0"/>
    <s v="Basic"/>
    <d v="2021-08-23T00:00:00"/>
    <n v="1499.95"/>
    <x v="0"/>
    <x v="0"/>
  </r>
  <r>
    <s v="TRX0072"/>
    <d v="2025-01-16T00:00:00"/>
    <s v="CUST009"/>
    <x v="7"/>
    <s v="P008"/>
    <x v="2"/>
    <x v="2"/>
    <n v="3"/>
    <n v="149.99"/>
    <s v="Credit Card"/>
    <x v="4"/>
    <s v="Standard"/>
    <d v="2021-07-18T00:00:00"/>
    <n v="449.97"/>
    <x v="3"/>
    <x v="0"/>
  </r>
  <r>
    <s v="TRX0110"/>
    <d v="2025-01-19T00:00:00"/>
    <s v="CUST006"/>
    <x v="24"/>
    <s v="P005"/>
    <x v="1"/>
    <x v="1"/>
    <n v="5"/>
    <n v="59.99"/>
    <s v="Debit Card"/>
    <x v="4"/>
    <s v="Basic"/>
    <d v="2022-03-22T00:00:00"/>
    <n v="299.95"/>
    <x v="4"/>
    <x v="1"/>
  </r>
  <r>
    <s v="TRX0126"/>
    <d v="2025-01-25T00:00:00"/>
    <s v="CUST022"/>
    <x v="9"/>
    <s v="P005"/>
    <x v="1"/>
    <x v="1"/>
    <n v="4"/>
    <n v="59.99"/>
    <s v="Debit Card"/>
    <x v="4"/>
    <s v="Standard"/>
    <d v="2022-01-03T00:00:00"/>
    <n v="239.96"/>
    <x v="1"/>
    <x v="1"/>
  </r>
  <r>
    <s v="TRX0159"/>
    <d v="2025-01-26T00:00:00"/>
    <s v="CUST024"/>
    <x v="5"/>
    <s v="P009"/>
    <x v="0"/>
    <x v="0"/>
    <n v="4"/>
    <n v="249.99"/>
    <s v="Debit Card"/>
    <x v="0"/>
    <s v="Premium"/>
    <d v="2023-10-18T00:00:00"/>
    <n v="999.96"/>
    <x v="5"/>
    <x v="2"/>
  </r>
  <r>
    <s v="TRX0030"/>
    <d v="2025-01-29T00:00:00"/>
    <s v="CUST011"/>
    <x v="44"/>
    <s v="P001"/>
    <x v="4"/>
    <x v="0"/>
    <n v="4"/>
    <n v="899.99"/>
    <s v="PayPal"/>
    <x v="0"/>
    <s v="Basic"/>
    <d v="2022-06-22T00:00:00"/>
    <n v="3599.96"/>
    <x v="6"/>
    <x v="1"/>
  </r>
  <r>
    <s v="TRX0178"/>
    <d v="2025-01-29T00:00:00"/>
    <s v="CUST025"/>
    <x v="14"/>
    <s v="P007"/>
    <x v="6"/>
    <x v="2"/>
    <n v="3"/>
    <n v="299.99"/>
    <s v="Debit Card"/>
    <x v="3"/>
    <s v="Standard"/>
    <d v="2023-01-26T00:00:00"/>
    <n v="899.97"/>
    <x v="1"/>
    <x v="2"/>
  </r>
  <r>
    <s v="TRX0188"/>
    <d v="2025-01-29T00:00:00"/>
    <s v="CUST045"/>
    <x v="46"/>
    <s v="P002"/>
    <x v="5"/>
    <x v="0"/>
    <n v="2"/>
    <n v="699.99"/>
    <s v="Debit Card"/>
    <x v="0"/>
    <s v="Premium"/>
    <d v="2022-04-30T00:00:00"/>
    <n v="1399.98"/>
    <x v="11"/>
    <x v="1"/>
  </r>
  <r>
    <s v="TRX0010"/>
    <d v="2025-01-31T00:00:00"/>
    <s v="CUST026"/>
    <x v="8"/>
    <s v="P002"/>
    <x v="5"/>
    <x v="0"/>
    <n v="4"/>
    <n v="699.99"/>
    <s v="Debit Card"/>
    <x v="3"/>
    <s v="Premium"/>
    <d v="2022-05-11T00:00:00"/>
    <n v="2799.96"/>
    <x v="10"/>
    <x v="1"/>
  </r>
  <r>
    <s v="TRX0069"/>
    <d v="2025-01-31T00:00:00"/>
    <s v="CUST029"/>
    <x v="23"/>
    <s v="P010"/>
    <x v="8"/>
    <x v="0"/>
    <n v="2"/>
    <n v="89.99"/>
    <s v="Debit Card"/>
    <x v="1"/>
    <s v="Basic"/>
    <d v="2022-08-04T00:00:00"/>
    <n v="179.98"/>
    <x v="0"/>
    <x v="1"/>
  </r>
  <r>
    <s v="TRX0166"/>
    <d v="2025-01-31T00:00:00"/>
    <s v="CUST003"/>
    <x v="4"/>
    <s v="P010"/>
    <x v="8"/>
    <x v="0"/>
    <n v="3"/>
    <n v="89.99"/>
    <s v="Debit Card"/>
    <x v="1"/>
    <s v="Premium"/>
    <d v="2024-01-16T00:00:00"/>
    <n v="269.97000000000003"/>
    <x v="1"/>
    <x v="3"/>
  </r>
  <r>
    <s v="TRX0219"/>
    <d v="2025-02-04T00:00:00"/>
    <s v="CUST037"/>
    <x v="48"/>
    <s v="P005"/>
    <x v="1"/>
    <x v="1"/>
    <n v="1"/>
    <n v="59.99"/>
    <s v="Debit Card"/>
    <x v="0"/>
    <s v="Standard"/>
    <d v="2023-04-29T00:00:00"/>
    <n v="59.99"/>
    <x v="11"/>
    <x v="2"/>
  </r>
  <r>
    <s v="TRX0024"/>
    <d v="2025-02-07T00:00:00"/>
    <s v="CUST042"/>
    <x v="43"/>
    <s v="P008"/>
    <x v="2"/>
    <x v="2"/>
    <n v="3"/>
    <n v="149.99"/>
    <s v="Debit Card"/>
    <x v="2"/>
    <s v="Premium"/>
    <d v="2022-01-03T00:00:00"/>
    <n v="449.97"/>
    <x v="1"/>
    <x v="1"/>
  </r>
  <r>
    <s v="TRX0105"/>
    <d v="2025-02-07T00:00:00"/>
    <s v="CUST048"/>
    <x v="16"/>
    <s v="P007"/>
    <x v="6"/>
    <x v="2"/>
    <n v="5"/>
    <n v="299.99"/>
    <s v="Credit Card"/>
    <x v="1"/>
    <s v="Basic"/>
    <d v="2023-02-02T00:00:00"/>
    <n v="1499.95"/>
    <x v="8"/>
    <x v="2"/>
  </r>
  <r>
    <s v="TRX0011"/>
    <d v="2025-02-08T00:00:00"/>
    <s v="CUST040"/>
    <x v="30"/>
    <s v="P005"/>
    <x v="1"/>
    <x v="1"/>
    <n v="5"/>
    <n v="59.99"/>
    <s v="Debit Card"/>
    <x v="0"/>
    <s v="Standard"/>
    <d v="2023-09-08T00:00:00"/>
    <n v="299.95"/>
    <x v="7"/>
    <x v="2"/>
  </r>
  <r>
    <s v="TRX0187"/>
    <d v="2025-02-13T00:00:00"/>
    <s v="CUST036"/>
    <x v="20"/>
    <s v="P004"/>
    <x v="7"/>
    <x v="1"/>
    <n v="3"/>
    <n v="79.989999999999995"/>
    <s v="Cash"/>
    <x v="4"/>
    <s v="Premium"/>
    <d v="2021-08-28T00:00:00"/>
    <n v="239.97"/>
    <x v="0"/>
    <x v="0"/>
  </r>
  <r>
    <s v="TRX0089"/>
    <d v="2025-02-16T00:00:00"/>
    <s v="CUST021"/>
    <x v="2"/>
    <s v="P006"/>
    <x v="9"/>
    <x v="2"/>
    <n v="3"/>
    <n v="199.99"/>
    <s v="Cash"/>
    <x v="0"/>
    <s v="Basic"/>
    <d v="2022-06-23T00:00:00"/>
    <n v="599.97"/>
    <x v="6"/>
    <x v="1"/>
  </r>
  <r>
    <s v="TRX0196"/>
    <d v="2025-02-16T00:00:00"/>
    <s v="CUST023"/>
    <x v="0"/>
    <s v="P010"/>
    <x v="8"/>
    <x v="0"/>
    <n v="2"/>
    <n v="89.99"/>
    <s v="PayPal"/>
    <x v="0"/>
    <s v="Basic"/>
    <d v="2023-11-27T00:00:00"/>
    <n v="179.98"/>
    <x v="9"/>
    <x v="2"/>
  </r>
  <r>
    <s v="TRX0118"/>
    <d v="2025-02-17T00:00:00"/>
    <s v="CUST015"/>
    <x v="45"/>
    <s v="P008"/>
    <x v="2"/>
    <x v="2"/>
    <n v="2"/>
    <n v="149.99"/>
    <s v="Cash"/>
    <x v="1"/>
    <s v="Premium"/>
    <d v="2022-06-16T00:00:00"/>
    <n v="299.98"/>
    <x v="6"/>
    <x v="1"/>
  </r>
  <r>
    <s v="TRX0179"/>
    <d v="2025-02-19T00:00:00"/>
    <s v="CUST029"/>
    <x v="23"/>
    <s v="P002"/>
    <x v="5"/>
    <x v="0"/>
    <n v="5"/>
    <n v="699.99"/>
    <s v="PayPal"/>
    <x v="1"/>
    <s v="Premium"/>
    <d v="2024-03-01T00:00:00"/>
    <n v="3499.95"/>
    <x v="4"/>
    <x v="3"/>
  </r>
  <r>
    <s v="TRX0168"/>
    <d v="2025-02-19T00:00:00"/>
    <s v="CUST003"/>
    <x v="4"/>
    <s v="P008"/>
    <x v="2"/>
    <x v="2"/>
    <n v="3"/>
    <n v="149.99"/>
    <s v="PayPal"/>
    <x v="0"/>
    <s v="Standard"/>
    <d v="2022-03-13T00:00:00"/>
    <n v="449.97"/>
    <x v="4"/>
    <x v="1"/>
  </r>
  <r>
    <s v="TRX0214"/>
    <d v="2025-02-20T00:00:00"/>
    <s v="CUST018"/>
    <x v="17"/>
    <s v="P001"/>
    <x v="4"/>
    <x v="0"/>
    <n v="3"/>
    <n v="899.99"/>
    <s v="Cash"/>
    <x v="4"/>
    <s v="Standard"/>
    <d v="2022-02-21T00:00:00"/>
    <n v="2699.97"/>
    <x v="8"/>
    <x v="1"/>
  </r>
  <r>
    <s v="TRX0221"/>
    <d v="2025-02-20T00:00:00"/>
    <s v="CUST033"/>
    <x v="37"/>
    <s v="P006"/>
    <x v="9"/>
    <x v="2"/>
    <n v="3"/>
    <n v="199.99"/>
    <s v="Cash"/>
    <x v="3"/>
    <s v="Premium"/>
    <d v="2022-09-19T00:00:00"/>
    <n v="599.97"/>
    <x v="7"/>
    <x v="1"/>
  </r>
  <r>
    <s v="TRX0083"/>
    <d v="2025-02-22T00:00:00"/>
    <s v="CUST017"/>
    <x v="6"/>
    <s v="P007"/>
    <x v="6"/>
    <x v="2"/>
    <n v="5"/>
    <n v="299.99"/>
    <s v="Cash"/>
    <x v="3"/>
    <s v="Standard"/>
    <d v="2023-08-04T00:00:00"/>
    <n v="1499.95"/>
    <x v="0"/>
    <x v="2"/>
  </r>
  <r>
    <s v="TRX0151"/>
    <d v="2025-02-22T00:00:00"/>
    <s v="CUST040"/>
    <x v="30"/>
    <s v="P002"/>
    <x v="5"/>
    <x v="0"/>
    <n v="1"/>
    <n v="699.99"/>
    <s v="PayPal"/>
    <x v="3"/>
    <s v="Basic"/>
    <d v="2023-01-08T00:00:00"/>
    <n v="699.99"/>
    <x v="1"/>
    <x v="2"/>
  </r>
  <r>
    <s v="TRX0047"/>
    <d v="2025-02-23T00:00:00"/>
    <s v="CUST042"/>
    <x v="43"/>
    <s v="P002"/>
    <x v="5"/>
    <x v="0"/>
    <n v="1"/>
    <n v="699.99"/>
    <s v="Cash"/>
    <x v="2"/>
    <s v="Premium"/>
    <d v="2022-01-22T00:00:00"/>
    <n v="699.99"/>
    <x v="1"/>
    <x v="1"/>
  </r>
  <r>
    <s v="TRX0200"/>
    <d v="2025-02-23T00:00:00"/>
    <s v="CUST037"/>
    <x v="48"/>
    <s v="P008"/>
    <x v="2"/>
    <x v="2"/>
    <n v="4"/>
    <n v="149.99"/>
    <s v="PayPal"/>
    <x v="2"/>
    <s v="Premium"/>
    <d v="2021-08-04T00:00:00"/>
    <n v="599.96"/>
    <x v="0"/>
    <x v="0"/>
  </r>
  <r>
    <s v="TRX0062"/>
    <d v="2025-02-23T00:00:00"/>
    <s v="CUST016"/>
    <x v="39"/>
    <s v="P010"/>
    <x v="8"/>
    <x v="0"/>
    <n v="5"/>
    <n v="89.99"/>
    <s v="PayPal"/>
    <x v="3"/>
    <s v="Premium"/>
    <d v="2023-08-02T00:00:00"/>
    <n v="449.95"/>
    <x v="0"/>
    <x v="2"/>
  </r>
  <r>
    <s v="TRX0182"/>
    <d v="2025-02-24T00:00:00"/>
    <s v="CUST031"/>
    <x v="26"/>
    <s v="P006"/>
    <x v="9"/>
    <x v="2"/>
    <n v="2"/>
    <n v="199.99"/>
    <s v="Cash"/>
    <x v="0"/>
    <s v="Premium"/>
    <d v="2022-01-12T00:00:00"/>
    <n v="399.98"/>
    <x v="1"/>
    <x v="1"/>
  </r>
  <r>
    <s v="TRX0229"/>
    <d v="2025-02-27T00:00:00"/>
    <s v="CUST015"/>
    <x v="45"/>
    <s v="P005"/>
    <x v="1"/>
    <x v="1"/>
    <n v="4"/>
    <n v="59.99"/>
    <s v="Cash"/>
    <x v="3"/>
    <s v="Standard"/>
    <d v="2023-05-24T00:00:00"/>
    <n v="239.96"/>
    <x v="10"/>
    <x v="2"/>
  </r>
  <r>
    <s v="TRX0048"/>
    <d v="2025-02-27T00:00:00"/>
    <s v="CUST048"/>
    <x v="16"/>
    <s v="P007"/>
    <x v="6"/>
    <x v="2"/>
    <n v="2"/>
    <n v="299.99"/>
    <s v="PayPal"/>
    <x v="1"/>
    <s v="Basic"/>
    <d v="2022-01-15T00:00:00"/>
    <n v="599.98"/>
    <x v="1"/>
    <x v="1"/>
  </r>
  <r>
    <s v="TRX0227"/>
    <d v="2025-03-02T00:00:00"/>
    <s v="CUST017"/>
    <x v="6"/>
    <s v="P008"/>
    <x v="2"/>
    <x v="2"/>
    <n v="2"/>
    <n v="149.99"/>
    <s v="Cash"/>
    <x v="0"/>
    <s v="Basic"/>
    <d v="2023-05-22T00:00:00"/>
    <n v="299.98"/>
    <x v="10"/>
    <x v="2"/>
  </r>
  <r>
    <s v="TRX0226"/>
    <d v="2025-03-04T00:00:00"/>
    <s v="CUST039"/>
    <x v="40"/>
    <s v="P002"/>
    <x v="5"/>
    <x v="0"/>
    <n v="5"/>
    <n v="699.99"/>
    <s v="Debit Card"/>
    <x v="4"/>
    <s v="Premium"/>
    <d v="2023-08-23T00:00:00"/>
    <n v="3499.95"/>
    <x v="0"/>
    <x v="2"/>
  </r>
  <r>
    <s v="TRX0053"/>
    <d v="2025-03-05T00:00:00"/>
    <s v="CUST043"/>
    <x v="11"/>
    <s v="P005"/>
    <x v="1"/>
    <x v="1"/>
    <n v="5"/>
    <n v="59.99"/>
    <s v="Cash"/>
    <x v="3"/>
    <s v="Premium"/>
    <d v="2023-12-31T00:00:00"/>
    <n v="299.95"/>
    <x v="2"/>
    <x v="2"/>
  </r>
  <r>
    <s v="TRX0233"/>
    <d v="2025-03-07T00:00:00"/>
    <s v="CUST023"/>
    <x v="0"/>
    <s v="P010"/>
    <x v="8"/>
    <x v="0"/>
    <n v="2"/>
    <n v="89.99"/>
    <s v="Credit Card"/>
    <x v="3"/>
    <s v="Premium"/>
    <d v="2024-01-04T00:00:00"/>
    <n v="179.98"/>
    <x v="1"/>
    <x v="3"/>
  </r>
  <r>
    <s v="TRX0175"/>
    <d v="2025-03-07T00:00:00"/>
    <s v="CUST030"/>
    <x v="22"/>
    <s v="P009"/>
    <x v="0"/>
    <x v="0"/>
    <n v="5"/>
    <n v="249.99"/>
    <s v="Cash"/>
    <x v="4"/>
    <s v="Standard"/>
    <d v="2021-12-10T00:00:00"/>
    <n v="1249.95"/>
    <x v="2"/>
    <x v="0"/>
  </r>
  <r>
    <s v="TRX0186"/>
    <d v="2025-03-08T00:00:00"/>
    <s v="CUST039"/>
    <x v="40"/>
    <s v="P008"/>
    <x v="2"/>
    <x v="2"/>
    <n v="2"/>
    <n v="149.99"/>
    <s v="PayPal"/>
    <x v="0"/>
    <s v="Premium"/>
    <d v="2022-03-12T00:00:00"/>
    <n v="299.98"/>
    <x v="4"/>
    <x v="1"/>
  </r>
  <r>
    <s v="TRX0016"/>
    <d v="2025-03-08T00:00:00"/>
    <s v="CUST035"/>
    <x v="28"/>
    <s v="P001"/>
    <x v="4"/>
    <x v="0"/>
    <n v="5"/>
    <n v="899.99"/>
    <s v="PayPal"/>
    <x v="4"/>
    <s v="Premium"/>
    <d v="2024-04-07T00:00:00"/>
    <n v="4499.95"/>
    <x v="11"/>
    <x v="3"/>
  </r>
  <r>
    <s v="TRX0199"/>
    <d v="2025-03-08T00:00:00"/>
    <s v="CUST017"/>
    <x v="6"/>
    <s v="P008"/>
    <x v="2"/>
    <x v="2"/>
    <n v="4"/>
    <n v="149.99"/>
    <s v="Cash"/>
    <x v="0"/>
    <s v="Standard"/>
    <d v="2023-12-03T00:00:00"/>
    <n v="599.96"/>
    <x v="2"/>
    <x v="2"/>
  </r>
  <r>
    <s v="TRX0038"/>
    <d v="2025-03-10T00:00:00"/>
    <s v="CUST035"/>
    <x v="28"/>
    <s v="P009"/>
    <x v="0"/>
    <x v="0"/>
    <n v="1"/>
    <n v="249.99"/>
    <s v="Cash"/>
    <x v="2"/>
    <s v="Standard"/>
    <d v="2023-07-10T00:00:00"/>
    <n v="249.99"/>
    <x v="3"/>
    <x v="2"/>
  </r>
  <r>
    <s v="TRX0014"/>
    <d v="2025-03-18T00:00:00"/>
    <s v="CUST033"/>
    <x v="37"/>
    <s v="P005"/>
    <x v="1"/>
    <x v="1"/>
    <n v="2"/>
    <n v="59.99"/>
    <s v="Credit Card"/>
    <x v="3"/>
    <s v="Basic"/>
    <d v="2023-09-24T00:00:00"/>
    <n v="119.98"/>
    <x v="7"/>
    <x v="2"/>
  </r>
  <r>
    <s v="TRX0003"/>
    <d v="2025-03-21T00:00:00"/>
    <s v="CUST002"/>
    <x v="25"/>
    <s v="P008"/>
    <x v="2"/>
    <x v="2"/>
    <n v="2"/>
    <n v="149.99"/>
    <s v="Cash"/>
    <x v="3"/>
    <s v="Premium"/>
    <d v="2023-11-03T00:00:00"/>
    <n v="299.98"/>
    <x v="9"/>
    <x v="2"/>
  </r>
  <r>
    <s v="TRX0124"/>
    <d v="2025-03-21T00:00:00"/>
    <s v="CUST040"/>
    <x v="30"/>
    <s v="P001"/>
    <x v="4"/>
    <x v="0"/>
    <n v="3"/>
    <n v="899.99"/>
    <s v="Debit Card"/>
    <x v="2"/>
    <s v="Premium"/>
    <d v="2022-11-11T00:00:00"/>
    <n v="2699.97"/>
    <x v="9"/>
    <x v="1"/>
  </r>
  <r>
    <s v="TRX0013"/>
    <d v="2025-03-21T00:00:00"/>
    <s v="CUST024"/>
    <x v="5"/>
    <s v="P001"/>
    <x v="4"/>
    <x v="0"/>
    <n v="3"/>
    <n v="899.99"/>
    <s v="PayPal"/>
    <x v="2"/>
    <s v="Basic"/>
    <d v="2023-02-18T00:00:00"/>
    <n v="2699.97"/>
    <x v="8"/>
    <x v="2"/>
  </r>
  <r>
    <s v="TRX0019"/>
    <d v="2025-03-23T00:00:00"/>
    <s v="CUST023"/>
    <x v="0"/>
    <s v="P007"/>
    <x v="6"/>
    <x v="2"/>
    <n v="3"/>
    <n v="299.99"/>
    <s v="Credit Card"/>
    <x v="3"/>
    <s v="Premium"/>
    <d v="2023-11-04T00:00:00"/>
    <n v="899.97"/>
    <x v="9"/>
    <x v="2"/>
  </r>
  <r>
    <s v="TRX0050"/>
    <d v="2025-03-24T00:00:00"/>
    <s v="CUST001"/>
    <x v="49"/>
    <s v="P008"/>
    <x v="2"/>
    <x v="2"/>
    <n v="4"/>
    <n v="149.99"/>
    <s v="PayPal"/>
    <x v="3"/>
    <s v="Standard"/>
    <d v="2021-12-30T00:00:00"/>
    <n v="599.96"/>
    <x v="2"/>
    <x v="0"/>
  </r>
  <r>
    <s v="TRX0152"/>
    <d v="2025-03-27T00:00:00"/>
    <s v="CUST044"/>
    <x v="19"/>
    <s v="P004"/>
    <x v="7"/>
    <x v="1"/>
    <n v="4"/>
    <n v="79.989999999999995"/>
    <s v="Credit Card"/>
    <x v="0"/>
    <s v="Basic"/>
    <d v="2023-12-28T00:00:00"/>
    <n v="319.95999999999998"/>
    <x v="2"/>
    <x v="2"/>
  </r>
  <r>
    <s v="TRX0213"/>
    <d v="2025-03-29T00:00:00"/>
    <s v="CUST020"/>
    <x v="36"/>
    <s v="P010"/>
    <x v="8"/>
    <x v="0"/>
    <n v="5"/>
    <n v="89.99"/>
    <s v="PayPal"/>
    <x v="1"/>
    <s v="Basic"/>
    <d v="2022-05-23T00:00:00"/>
    <n v="449.95"/>
    <x v="10"/>
    <x v="1"/>
  </r>
  <r>
    <s v="TRX0197"/>
    <d v="2025-03-30T00:00:00"/>
    <s v="CUST048"/>
    <x v="16"/>
    <s v="P008"/>
    <x v="2"/>
    <x v="2"/>
    <n v="3"/>
    <n v="149.99"/>
    <s v="PayPal"/>
    <x v="0"/>
    <s v="Standard"/>
    <d v="2023-09-02T00:00:00"/>
    <n v="449.97"/>
    <x v="7"/>
    <x v="2"/>
  </r>
  <r>
    <s v="TRX0250"/>
    <d v="2025-03-30T00:00:00"/>
    <s v="CUST026"/>
    <x v="8"/>
    <s v="P010"/>
    <x v="8"/>
    <x v="0"/>
    <n v="2"/>
    <n v="89.99"/>
    <s v="Debit Card"/>
    <x v="3"/>
    <s v="Premium"/>
    <d v="2021-11-22T00:00:00"/>
    <n v="179.98"/>
    <x v="9"/>
    <x v="0"/>
  </r>
  <r>
    <s v="TRX0068"/>
    <d v="2025-04-01T00:00:00"/>
    <s v="CUST044"/>
    <x v="19"/>
    <s v="P002"/>
    <x v="5"/>
    <x v="0"/>
    <n v="2"/>
    <n v="699.99"/>
    <s v="PayPal"/>
    <x v="2"/>
    <s v="Standard"/>
    <d v="2022-02-26T00:00:00"/>
    <n v="1399.98"/>
    <x v="8"/>
    <x v="1"/>
  </r>
  <r>
    <s v="TRX0144"/>
    <d v="2025-04-02T00:00:00"/>
    <s v="CUST029"/>
    <x v="23"/>
    <s v="P001"/>
    <x v="4"/>
    <x v="0"/>
    <n v="3"/>
    <n v="899.99"/>
    <s v="Cash"/>
    <x v="0"/>
    <s v="Standard"/>
    <d v="2023-01-27T00:00:00"/>
    <n v="2699.97"/>
    <x v="1"/>
    <x v="2"/>
  </r>
  <r>
    <s v="TRX0039"/>
    <d v="2025-04-08T00:00:00"/>
    <s v="CUST048"/>
    <x v="16"/>
    <s v="P004"/>
    <x v="7"/>
    <x v="1"/>
    <n v="3"/>
    <n v="79.989999999999995"/>
    <s v="Credit Card"/>
    <x v="2"/>
    <s v="Basic"/>
    <d v="2021-11-11T00:00:00"/>
    <n v="239.97"/>
    <x v="9"/>
    <x v="0"/>
  </r>
  <r>
    <s v="TRX0116"/>
    <d v="2025-04-09T00:00:00"/>
    <s v="CUST009"/>
    <x v="7"/>
    <s v="P010"/>
    <x v="8"/>
    <x v="0"/>
    <n v="1"/>
    <n v="89.99"/>
    <s v="Debit Card"/>
    <x v="4"/>
    <s v="Basic"/>
    <d v="2024-02-24T00:00:00"/>
    <n v="89.99"/>
    <x v="8"/>
    <x v="3"/>
  </r>
  <r>
    <s v="TRX0120"/>
    <d v="2025-04-11T00:00:00"/>
    <s v="CUST045"/>
    <x v="46"/>
    <s v="P002"/>
    <x v="5"/>
    <x v="0"/>
    <n v="3"/>
    <n v="699.99"/>
    <s v="PayPal"/>
    <x v="2"/>
    <s v="Basic"/>
    <d v="2022-12-14T00:00:00"/>
    <n v="2099.9699999999998"/>
    <x v="2"/>
    <x v="1"/>
  </r>
  <r>
    <s v="TRX0103"/>
    <d v="2025-04-11T00:00:00"/>
    <s v="CUST039"/>
    <x v="40"/>
    <s v="P010"/>
    <x v="8"/>
    <x v="0"/>
    <n v="2"/>
    <n v="89.99"/>
    <s v="Debit Card"/>
    <x v="4"/>
    <s v="Basic"/>
    <d v="2023-06-11T00:00:00"/>
    <n v="179.98"/>
    <x v="6"/>
    <x v="2"/>
  </r>
  <r>
    <s v="TRX0064"/>
    <d v="2025-04-11T00:00:00"/>
    <s v="CUST031"/>
    <x v="26"/>
    <s v="P010"/>
    <x v="8"/>
    <x v="0"/>
    <n v="3"/>
    <n v="89.99"/>
    <s v="Debit Card"/>
    <x v="2"/>
    <s v="Premium"/>
    <d v="2022-11-13T00:00:00"/>
    <n v="269.97000000000003"/>
    <x v="9"/>
    <x v="1"/>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682AC-E552-470E-A6D0-7B9F396C64B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4:V16" firstHeaderRow="1" firstDataRow="1" firstDataCol="1"/>
  <pivotFields count="16">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items count="5">
        <item h="1" x="1"/>
        <item x="0"/>
        <item h="1" x="2"/>
        <item h="1" x="3"/>
        <item t="default"/>
      </items>
    </pivotField>
    <pivotField showAll="0"/>
    <pivotField showAll="0"/>
    <pivotField showAll="0"/>
    <pivotField showAll="0"/>
    <pivotField showAll="0"/>
    <pivotField showAll="0"/>
    <pivotField dataField="1" showAll="0"/>
    <pivotField axis="axisRow" showAll="0">
      <items count="14">
        <item x="1"/>
        <item x="8"/>
        <item x="4"/>
        <item x="11"/>
        <item x="10"/>
        <item x="6"/>
        <item x="3"/>
        <item x="0"/>
        <item x="7"/>
        <item x="5"/>
        <item x="9"/>
        <item x="2"/>
        <item h="1" x="12"/>
        <item t="default"/>
      </items>
    </pivotField>
    <pivotField showAll="0">
      <items count="7">
        <item h="1" x="0"/>
        <item x="1"/>
        <item h="1" x="2"/>
        <item h="1" x="3"/>
        <item h="1" m="1" x="5"/>
        <item h="1" x="4"/>
        <item t="default"/>
      </items>
    </pivotField>
  </pivotFields>
  <rowFields count="1">
    <field x="14"/>
  </rowFields>
  <rowItems count="12">
    <i>
      <x/>
    </i>
    <i>
      <x v="1"/>
    </i>
    <i>
      <x v="2"/>
    </i>
    <i>
      <x v="3"/>
    </i>
    <i>
      <x v="4"/>
    </i>
    <i>
      <x v="5"/>
    </i>
    <i>
      <x v="6"/>
    </i>
    <i>
      <x v="7"/>
    </i>
    <i>
      <x v="8"/>
    </i>
    <i>
      <x v="10"/>
    </i>
    <i>
      <x v="11"/>
    </i>
    <i t="grand">
      <x/>
    </i>
  </rowItems>
  <colItems count="1">
    <i/>
  </colItems>
  <dataFields count="1">
    <dataField name="Sum of Total_Amount" fld="13" baseField="0" baseItem="0"/>
  </dataFields>
  <formats count="1">
    <format dxfId="0">
      <pivotArea collapsedLevelsAreSubtotals="1" fieldPosition="0">
        <references count="1">
          <reference field="14" count="0"/>
        </references>
      </pivotArea>
    </format>
  </formats>
  <chartFormats count="1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7"/>
          </reference>
        </references>
      </pivotArea>
    </chartFormat>
    <chartFormat chart="1" format="3">
      <pivotArea type="data" outline="0" fieldPosition="0">
        <references count="2">
          <reference field="4294967294" count="1" selected="0">
            <x v="0"/>
          </reference>
          <reference field="14" count="1" selected="0">
            <x v="8"/>
          </reference>
        </references>
      </pivotArea>
    </chartFormat>
    <chartFormat chart="1" format="4">
      <pivotArea type="data" outline="0" fieldPosition="0">
        <references count="2">
          <reference field="4294967294" count="1" selected="0">
            <x v="0"/>
          </reference>
          <reference field="14" count="1" selected="0">
            <x v="9"/>
          </reference>
        </references>
      </pivotArea>
    </chartFormat>
    <chartFormat chart="1" format="5">
      <pivotArea type="data" outline="0" fieldPosition="0">
        <references count="2">
          <reference field="4294967294" count="1" selected="0">
            <x v="0"/>
          </reference>
          <reference field="14" count="1" selected="0">
            <x v="10"/>
          </reference>
        </references>
      </pivotArea>
    </chartFormat>
    <chartFormat chart="1" format="6">
      <pivotArea type="data" outline="0" fieldPosition="0">
        <references count="2">
          <reference field="4294967294" count="1" selected="0">
            <x v="0"/>
          </reference>
          <reference field="14" count="1" selected="0">
            <x v="11"/>
          </reference>
        </references>
      </pivotArea>
    </chartFormat>
    <chartFormat chart="1" format="7">
      <pivotArea type="data" outline="0" fieldPosition="0">
        <references count="2">
          <reference field="4294967294" count="1" selected="0">
            <x v="0"/>
          </reference>
          <reference field="14" count="1" selected="0">
            <x v="6"/>
          </reference>
        </references>
      </pivotArea>
    </chartFormat>
    <chartFormat chart="1" format="8">
      <pivotArea type="data" outline="0" fieldPosition="0">
        <references count="2">
          <reference field="4294967294" count="1" selected="0">
            <x v="0"/>
          </reference>
          <reference field="14" count="1" selected="0">
            <x v="5"/>
          </reference>
        </references>
      </pivotArea>
    </chartFormat>
    <chartFormat chart="1" format="9">
      <pivotArea type="data" outline="0" fieldPosition="0">
        <references count="2">
          <reference field="4294967294" count="1" selected="0">
            <x v="0"/>
          </reference>
          <reference field="14" count="1" selected="0">
            <x v="4"/>
          </reference>
        </references>
      </pivotArea>
    </chartFormat>
    <chartFormat chart="1" format="10">
      <pivotArea type="data" outline="0" fieldPosition="0">
        <references count="2">
          <reference field="4294967294" count="1" selected="0">
            <x v="0"/>
          </reference>
          <reference field="14" count="1" selected="0">
            <x v="3"/>
          </reference>
        </references>
      </pivotArea>
    </chartFormat>
    <chartFormat chart="1" format="11">
      <pivotArea type="data" outline="0" fieldPosition="0">
        <references count="2">
          <reference field="4294967294" count="1" selected="0">
            <x v="0"/>
          </reference>
          <reference field="14" count="1" selected="0">
            <x v="2"/>
          </reference>
        </references>
      </pivotArea>
    </chartFormat>
    <chartFormat chart="1" format="12">
      <pivotArea type="data" outline="0" fieldPosition="0">
        <references count="2">
          <reference field="4294967294" count="1" selected="0">
            <x v="0"/>
          </reference>
          <reference field="14" count="1" selected="0">
            <x v="1"/>
          </reference>
        </references>
      </pivotArea>
    </chartFormat>
    <chartFormat chart="1" format="1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B5B2BE-27A8-47FE-9B11-36385CCF2DE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H8" firstHeaderRow="1" firstDataRow="2" firstDataCol="1"/>
  <pivotFields count="16">
    <pivotField showAll="0"/>
    <pivotField showAll="0"/>
    <pivotField showAll="0"/>
    <pivotField showAll="0"/>
    <pivotField showAll="0"/>
    <pivotField showAll="0"/>
    <pivotField axis="axisCol" showAll="0">
      <items count="5">
        <item x="1"/>
        <item x="0"/>
        <item x="2"/>
        <item x="3"/>
        <item t="default"/>
      </items>
    </pivotField>
    <pivotField showAll="0"/>
    <pivotField showAll="0"/>
    <pivotField showAll="0"/>
    <pivotField showAll="0"/>
    <pivotField showAll="0"/>
    <pivotField showAll="0"/>
    <pivotField dataField="1" showAll="0"/>
    <pivotField showAll="0"/>
    <pivotField axis="axisRow" showAll="0">
      <items count="7">
        <item x="0"/>
        <item x="1"/>
        <item x="2"/>
        <item x="3"/>
        <item m="1" x="5"/>
        <item h="1" x="4"/>
        <item t="default"/>
      </items>
    </pivotField>
  </pivotFields>
  <rowFields count="1">
    <field x="15"/>
  </rowFields>
  <rowItems count="5">
    <i>
      <x/>
    </i>
    <i>
      <x v="1"/>
    </i>
    <i>
      <x v="2"/>
    </i>
    <i>
      <x v="3"/>
    </i>
    <i t="grand">
      <x/>
    </i>
  </rowItems>
  <colFields count="1">
    <field x="6"/>
  </colFields>
  <colItems count="4">
    <i>
      <x/>
    </i>
    <i>
      <x v="1"/>
    </i>
    <i>
      <x v="2"/>
    </i>
    <i t="grand">
      <x/>
    </i>
  </colItems>
  <dataFields count="1">
    <dataField name="Sum of Total_Amount" fld="13" baseField="0" baseItem="0" numFmtId="164"/>
  </dataFields>
  <formats count="3">
    <format dxfId="3">
      <pivotArea outline="0" collapsedLevelsAreSubtotals="1" fieldPosition="0"/>
    </format>
    <format dxfId="2">
      <pivotArea dataOnly="0" labelOnly="1" fieldPosition="0">
        <references count="1">
          <reference field="6" count="3">
            <x v="0"/>
            <x v="1"/>
            <x v="2"/>
          </reference>
        </references>
      </pivotArea>
    </format>
    <format dxfId="1">
      <pivotArea dataOnly="0" labelOnly="1" grandCol="1" outline="0" fieldPosition="0"/>
    </format>
  </formats>
  <chartFormats count="3">
    <chartFormat chart="1" format="3" series="1">
      <pivotArea type="data" outline="0" fieldPosition="0">
        <references count="2">
          <reference field="4294967294" count="1" selected="0">
            <x v="0"/>
          </reference>
          <reference field="6" count="1" selected="0">
            <x v="0"/>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 format="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C9323-F2F5-438F-ADE7-687FC4360ED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16">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60D714-3D2A-4262-B21D-79DB280BB57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5:S21" firstHeaderRow="1" firstDataRow="1" firstDataCol="1"/>
  <pivotFields count="16">
    <pivotField showAll="0"/>
    <pivotField showAll="0"/>
    <pivotField showAll="0"/>
    <pivotField axis="axisRow" showAll="0" measureFilter="1" sortType="ascending">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6">
    <i>
      <x v="37"/>
    </i>
    <i>
      <x v="36"/>
    </i>
    <i>
      <x v="1"/>
    </i>
    <i>
      <x v="11"/>
    </i>
    <i>
      <x v="32"/>
    </i>
    <i t="grand">
      <x/>
    </i>
  </rowItems>
  <colItems count="1">
    <i/>
  </colItems>
  <dataFields count="1">
    <dataField name="Sum of Total_Amount" fld="13" baseField="0" baseItem="0"/>
  </dataFields>
  <formats count="1">
    <format dxfId="4">
      <pivotArea collapsedLevelsAreSubtotals="1" fieldPosition="0">
        <references count="1">
          <reference field="3" count="5">
            <x v="1"/>
            <x v="11"/>
            <x v="32"/>
            <x v="36"/>
            <x v="37"/>
          </reference>
        </references>
      </pivotArea>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32"/>
          </reference>
        </references>
      </pivotArea>
    </chartFormat>
    <chartFormat chart="1" format="3">
      <pivotArea type="data" outline="0" fieldPosition="0">
        <references count="2">
          <reference field="4294967294" count="1" selected="0">
            <x v="0"/>
          </reference>
          <reference field="3" count="1" selected="0">
            <x v="11"/>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36"/>
          </reference>
        </references>
      </pivotArea>
    </chartFormat>
    <chartFormat chart="1" format="6">
      <pivotArea type="data" outline="0" fieldPosition="0">
        <references count="2">
          <reference field="4294967294" count="1" selected="0">
            <x v="0"/>
          </reference>
          <reference field="3" count="1" selected="0">
            <x v="3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B5E04-F9D9-4276-B49B-808E5C7D1A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3:P8" firstHeaderRow="1" firstDataRow="1" firstDataCol="1"/>
  <pivotFields count="2">
    <pivotField dataField="1" showAll="0"/>
    <pivotField axis="axisRow" showAll="0">
      <items count="5">
        <item x="3"/>
        <item x="0"/>
        <item x="1"/>
        <item x="2"/>
        <item t="default"/>
      </items>
    </pivotField>
  </pivotFields>
  <rowFields count="1">
    <field x="1"/>
  </rowFields>
  <rowItems count="5">
    <i>
      <x/>
    </i>
    <i>
      <x v="1"/>
    </i>
    <i>
      <x v="2"/>
    </i>
    <i>
      <x v="3"/>
    </i>
    <i t="grand">
      <x/>
    </i>
  </rowItems>
  <colItems count="1">
    <i/>
  </colItems>
  <dataFields count="1">
    <dataField name="Count of Customer_Name" fld="0" subtotal="count" baseField="0" baseItem="0"/>
  </dataFields>
  <chartFormats count="5">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D48F9-C64D-41D3-B26A-085E07610E9B}"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P21"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showAll="0">
      <items count="7">
        <item x="0"/>
        <item x="4"/>
        <item x="2"/>
        <item x="1"/>
        <item x="3"/>
        <item h="1" x="5"/>
        <item t="default"/>
      </items>
    </pivotField>
    <pivotField showAll="0"/>
    <pivotField showAll="0"/>
    <pivotField dataField="1"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formats count="1">
    <format dxfId="5">
      <pivotArea collapsedLevelsAreSubtotals="1" fieldPosition="0">
        <references count="1">
          <reference field="10"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DEB758-25CA-4688-A3EB-EB43C01479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0" firstHeaderRow="1" firstDataRow="1" firstDataCol="1"/>
  <pivotFields count="14">
    <pivotField showAll="0"/>
    <pivotField showAll="0"/>
    <pivotField showAll="0">
      <items count="52">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x="50"/>
        <item t="default"/>
      </items>
    </pivotField>
    <pivotField showAll="0"/>
    <pivotField showAll="0"/>
    <pivotField axis="axisRow" showAll="0">
      <items count="12">
        <item x="1"/>
        <item x="2"/>
        <item x="7"/>
        <item x="6"/>
        <item x="3"/>
        <item x="8"/>
        <item x="4"/>
        <item x="0"/>
        <item x="9"/>
        <item x="5"/>
        <item x="10"/>
        <item t="default"/>
      </items>
    </pivotField>
    <pivotField showAll="0"/>
    <pivotField dataField="1" showAll="0"/>
    <pivotField showAll="0"/>
    <pivotField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A67606-BE5C-444E-B943-47051A86F79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32" firstHeaderRow="1" firstDataRow="1" firstDataCol="1"/>
  <pivotFields count="16">
    <pivotField showAll="0"/>
    <pivotField showAll="0"/>
    <pivotField showAll="0"/>
    <pivotField showAll="0"/>
    <pivotField showAll="0"/>
    <pivotField axis="axisRow" showAll="0" sortType="descending">
      <items count="12">
        <item x="1"/>
        <item x="2"/>
        <item x="7"/>
        <item x="6"/>
        <item x="3"/>
        <item x="8"/>
        <item x="4"/>
        <item x="0"/>
        <item x="9"/>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s>
  <rowFields count="1">
    <field x="5"/>
  </rowFields>
  <rowItems count="12">
    <i>
      <x v="6"/>
    </i>
    <i>
      <x v="9"/>
    </i>
    <i>
      <x v="3"/>
    </i>
    <i>
      <x v="7"/>
    </i>
    <i>
      <x v="1"/>
    </i>
    <i>
      <x v="8"/>
    </i>
    <i>
      <x v="5"/>
    </i>
    <i>
      <x v="4"/>
    </i>
    <i>
      <x/>
    </i>
    <i>
      <x v="2"/>
    </i>
    <i>
      <x v="10"/>
    </i>
    <i t="grand">
      <x/>
    </i>
  </rowItems>
  <colItems count="1">
    <i/>
  </colItems>
  <dataFields count="1">
    <dataField name="Sum of Total_Amount" fld="13" baseField="0" baseItem="0"/>
  </dataFields>
  <formats count="1">
    <format dxfId="6">
      <pivotArea collapsedLevelsAreSubtotals="1" fieldPosition="0">
        <references count="1">
          <reference field="5"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0EAF98-B4FA-4A8F-802D-A7328C906C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_Amount" fld="13"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73F19D-B078-4553-B805-526343E9233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6">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Total_Amount" fld="13" baseField="0" baseItem="0"/>
  </dataFields>
  <formats count="1">
    <format dxfId="8">
      <pivotArea collapsedLevelsAreSubtotals="1" fieldPosition="0">
        <references count="1">
          <reference field="6"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2593C5A-FE19-44F5-A6AC-C4BB289BE512}" sourceName="Category">
  <pivotTables>
    <pivotTable tabId="17" name="PivotTable14"/>
  </pivotTables>
  <data>
    <tabular pivotCacheId="132324152">
      <items count="4">
        <i x="1"/>
        <i x="0" s="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D4657B8-C12C-4411-8234-1F4DBAE4820A}" sourceName="Month">
  <pivotTables>
    <pivotTable tabId="17" name="PivotTable14"/>
  </pivotTables>
  <data>
    <tabular pivotCacheId="132324152">
      <items count="13">
        <i x="1" s="1"/>
        <i x="8" s="1"/>
        <i x="4" s="1"/>
        <i x="11" s="1"/>
        <i x="10" s="1"/>
        <i x="6" s="1"/>
        <i x="3" s="1"/>
        <i x="0" s="1"/>
        <i x="7" s="1"/>
        <i x="9" s="1"/>
        <i x="2" s="1"/>
        <i x="5" s="1" nd="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FCD201-C6BE-476A-8531-6CA095337053}" sourceName="Year">
  <pivotTables>
    <pivotTable tabId="17" name="PivotTable14"/>
  </pivotTables>
  <data>
    <tabular pivotCacheId="132324152">
      <items count="6">
        <i x="0"/>
        <i x="1" s="1"/>
        <i x="2"/>
        <i x="3"/>
        <i x="5"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1F631CD-79E2-46D1-9134-2C19B165ECC0}" cache="Slicer_Category1" caption="Category" rowHeight="234950"/>
  <slicer name="Month 1" xr10:uid="{D8E28D4B-6236-4707-8F61-778653E3F909}" cache="Slicer_Month" caption="Month" startItem="5" rowHeight="234950"/>
  <slicer name="Year 1" xr10:uid="{2463C48A-6C10-4357-9698-A4CD265F8E08}" cache="Slicer_Year" caption="Yea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4B011-0FF6-447B-8C37-48496BAFAF38}" name="Table1" displayName="Table1" ref="A1:P251" totalsRowShown="0" headerRowDxfId="29" dataDxfId="27" headerRowBorderDxfId="28" tableBorderDxfId="26" totalsRowBorderDxfId="25">
  <autoFilter ref="A1:P251" xr:uid="{73EF5F1D-B8F9-4C16-8C0D-AF828E384E79}"/>
  <tableColumns count="16">
    <tableColumn id="1" xr3:uid="{91499C17-D390-4C14-878A-03B17911496E}" name="Transaction_ID" dataDxfId="24"/>
    <tableColumn id="2" xr3:uid="{DE1BAD7E-C1F1-4712-94B2-F1ED6975349B}" name="Date" dataDxfId="23"/>
    <tableColumn id="3" xr3:uid="{C5569AFA-89BB-48CE-BB50-28E7434F0C05}" name="Customer_ID" dataDxfId="22"/>
    <tableColumn id="4" xr3:uid="{1DE0DB2A-1B35-4178-A924-A65E68830FC0}" name="Customer_Name" dataDxfId="21"/>
    <tableColumn id="5" xr3:uid="{5807DE4C-BA78-4E9B-BD4E-606CC46BEE5D}" name="Product_ID" dataDxfId="20"/>
    <tableColumn id="6" xr3:uid="{727EF1C8-36DA-4BCB-BAB0-8B8BD00BD84F}" name="Product_Name" dataDxfId="19"/>
    <tableColumn id="7" xr3:uid="{C5FB5D28-F416-442C-8CCE-4FC8A5A8A8EF}" name="Category" dataDxfId="18"/>
    <tableColumn id="8" xr3:uid="{4647FE4D-566A-4166-B06E-D1ACC9025946}" name="Quantity" dataDxfId="17"/>
    <tableColumn id="9" xr3:uid="{5394D4AE-F172-4BD0-8C3E-6D5A11EE6D6B}" name="Unit_Price" dataDxfId="16"/>
    <tableColumn id="10" xr3:uid="{C45176D2-AC0C-41DC-96C8-606DC8AB7071}" name="Payment_Method" dataDxfId="15"/>
    <tableColumn id="11" xr3:uid="{E51BA41F-BD08-4445-BBD0-D02783FCD31A}" name="Region" dataDxfId="14"/>
    <tableColumn id="12" xr3:uid="{C19C888A-7BC3-4B92-BE12-82B52E63A4E7}" name="Customer_Segment" dataDxfId="13"/>
    <tableColumn id="13" xr3:uid="{D24AE68E-C713-4438-86B4-B73D50EF0A76}" name="Customer_Since" dataDxfId="12"/>
    <tableColumn id="14" xr3:uid="{8D1971B2-4FAD-4189-87CB-F98BC19E4386}" name="Total_Amount" dataDxfId="11"/>
    <tableColumn id="15" xr3:uid="{CC0AB60F-B2E1-41E3-BC8D-EE5880CFB5CD}" name="Month" dataDxfId="10">
      <calculatedColumnFormula>MONTH(Table1[[#This Row],[Customer_Since]])</calculatedColumnFormula>
    </tableColumn>
    <tableColumn id="16" xr3:uid="{A351074C-2ED5-46D3-9099-910C852F4A39}" name="Year" dataDxfId="9">
      <calculatedColumnFormula>YEAR(Table1[[#This Row],[Customer_Since]])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F5F1D-B8F9-4C16-8C0D-AF828E384E79}">
  <dimension ref="A1:Z1000"/>
  <sheetViews>
    <sheetView tabSelected="1" zoomScale="73" workbookViewId="0">
      <pane ySplit="1" topLeftCell="A16" activePane="bottomLeft" state="frozen"/>
      <selection pane="bottomLeft" activeCell="E1" sqref="E1:E1048576"/>
    </sheetView>
  </sheetViews>
  <sheetFormatPr defaultRowHeight="14.4" x14ac:dyDescent="0.3"/>
  <cols>
    <col min="1" max="1" width="15.44140625" customWidth="1"/>
    <col min="2" max="2" width="15.777343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2" max="12" width="19.44140625" customWidth="1"/>
    <col min="13" max="13" width="16.44140625" customWidth="1"/>
    <col min="14" max="14" width="15" customWidth="1"/>
  </cols>
  <sheetData>
    <row r="1" spans="1:26" ht="15" thickBot="1" x14ac:dyDescent="0.35">
      <c r="A1" s="20" t="s">
        <v>0</v>
      </c>
      <c r="B1" s="21" t="s">
        <v>1</v>
      </c>
      <c r="C1" s="21" t="s">
        <v>2</v>
      </c>
      <c r="D1" s="21" t="s">
        <v>3</v>
      </c>
      <c r="E1" s="21" t="s">
        <v>4</v>
      </c>
      <c r="F1" s="21" t="s">
        <v>5</v>
      </c>
      <c r="G1" s="21" t="s">
        <v>6</v>
      </c>
      <c r="H1" s="21" t="s">
        <v>7</v>
      </c>
      <c r="I1" s="21" t="s">
        <v>8</v>
      </c>
      <c r="J1" s="21" t="s">
        <v>9</v>
      </c>
      <c r="K1" s="21" t="s">
        <v>10</v>
      </c>
      <c r="L1" s="21" t="s">
        <v>11</v>
      </c>
      <c r="M1" s="21" t="s">
        <v>12</v>
      </c>
      <c r="N1" s="22" t="s">
        <v>13</v>
      </c>
      <c r="O1" s="21" t="s">
        <v>440</v>
      </c>
      <c r="P1" s="21" t="s">
        <v>441</v>
      </c>
      <c r="Q1" s="1"/>
      <c r="R1" s="1"/>
      <c r="S1" s="1"/>
      <c r="T1" s="1"/>
      <c r="U1" s="1"/>
      <c r="V1" s="1"/>
      <c r="W1" s="1"/>
      <c r="X1" s="1"/>
      <c r="Y1" s="1"/>
      <c r="Z1" s="1"/>
    </row>
    <row r="2" spans="1:26" ht="15" thickBot="1" x14ac:dyDescent="0.35">
      <c r="A2" s="18" t="s">
        <v>14</v>
      </c>
      <c r="B2" s="4">
        <v>45393</v>
      </c>
      <c r="C2" s="1" t="s">
        <v>15</v>
      </c>
      <c r="D2" s="1" t="s">
        <v>16</v>
      </c>
      <c r="E2" s="1" t="s">
        <v>17</v>
      </c>
      <c r="F2" s="1" t="s">
        <v>18</v>
      </c>
      <c r="G2" s="1" t="s">
        <v>19</v>
      </c>
      <c r="H2" s="5">
        <v>3</v>
      </c>
      <c r="I2" s="5">
        <v>249.99</v>
      </c>
      <c r="J2" s="1" t="s">
        <v>20</v>
      </c>
      <c r="K2" s="1" t="s">
        <v>21</v>
      </c>
      <c r="L2" s="1" t="s">
        <v>22</v>
      </c>
      <c r="M2" s="4">
        <v>44425</v>
      </c>
      <c r="N2" s="19">
        <v>749.97</v>
      </c>
      <c r="O2" s="28">
        <f>MONTH(Table1[[#This Row],[Customer_Since]])</f>
        <v>8</v>
      </c>
      <c r="P2" s="1">
        <f>YEAR(Table1[[#This Row],[Customer_Since]])</f>
        <v>2021</v>
      </c>
      <c r="Q2" s="1"/>
      <c r="R2" s="1"/>
      <c r="S2" s="1"/>
      <c r="T2" s="1"/>
      <c r="U2" s="1"/>
      <c r="V2" s="1"/>
      <c r="W2" s="1"/>
      <c r="X2" s="1"/>
      <c r="Y2" s="1"/>
      <c r="Z2" s="1"/>
    </row>
    <row r="3" spans="1:26" ht="15" thickBot="1" x14ac:dyDescent="0.35">
      <c r="A3" s="18" t="s">
        <v>23</v>
      </c>
      <c r="B3" s="4">
        <v>45396</v>
      </c>
      <c r="C3" s="1" t="s">
        <v>24</v>
      </c>
      <c r="D3" s="1" t="s">
        <v>25</v>
      </c>
      <c r="E3" s="1" t="s">
        <v>17</v>
      </c>
      <c r="F3" s="1" t="s">
        <v>18</v>
      </c>
      <c r="G3" s="1" t="s">
        <v>19</v>
      </c>
      <c r="H3" s="5">
        <v>3</v>
      </c>
      <c r="I3" s="5">
        <v>249.99</v>
      </c>
      <c r="J3" s="1" t="s">
        <v>26</v>
      </c>
      <c r="K3" s="1" t="s">
        <v>21</v>
      </c>
      <c r="L3" s="1" t="s">
        <v>27</v>
      </c>
      <c r="M3" s="4">
        <v>44575</v>
      </c>
      <c r="N3" s="19">
        <v>749.97</v>
      </c>
      <c r="O3" s="1">
        <f>MONTH(Table1[[#This Row],[Customer_Since]])</f>
        <v>1</v>
      </c>
      <c r="P3" s="1">
        <f>YEAR(Table1[[#This Row],[Customer_Since]])</f>
        <v>2022</v>
      </c>
      <c r="Q3" s="1"/>
      <c r="R3" s="1"/>
      <c r="S3" s="1"/>
      <c r="T3" s="1"/>
      <c r="U3" s="1"/>
      <c r="V3" s="1"/>
      <c r="W3" s="1"/>
      <c r="X3" s="1"/>
      <c r="Y3" s="1"/>
      <c r="Z3" s="1"/>
    </row>
    <row r="4" spans="1:26" ht="15" thickBot="1" x14ac:dyDescent="0.35">
      <c r="A4" s="18" t="s">
        <v>28</v>
      </c>
      <c r="B4" s="4">
        <v>45399</v>
      </c>
      <c r="C4" s="1" t="s">
        <v>29</v>
      </c>
      <c r="D4" s="1" t="s">
        <v>30</v>
      </c>
      <c r="E4" s="1" t="s">
        <v>31</v>
      </c>
      <c r="F4" s="1" t="s">
        <v>32</v>
      </c>
      <c r="G4" s="1" t="s">
        <v>33</v>
      </c>
      <c r="H4" s="5">
        <v>3</v>
      </c>
      <c r="I4" s="5">
        <v>59.99</v>
      </c>
      <c r="J4" s="1" t="s">
        <v>34</v>
      </c>
      <c r="K4" s="1" t="s">
        <v>35</v>
      </c>
      <c r="L4" s="1" t="s">
        <v>36</v>
      </c>
      <c r="M4" s="4">
        <v>45262</v>
      </c>
      <c r="N4" s="19">
        <v>179.97</v>
      </c>
      <c r="O4" s="1">
        <f>MONTH(Table1[[#This Row],[Customer_Since]])</f>
        <v>12</v>
      </c>
      <c r="P4" s="1">
        <f>YEAR(Table1[[#This Row],[Customer_Since]])</f>
        <v>2023</v>
      </c>
      <c r="Q4" s="1"/>
      <c r="R4" s="1"/>
      <c r="S4" s="1"/>
      <c r="T4" s="1"/>
      <c r="U4" s="1"/>
      <c r="V4" s="1"/>
      <c r="W4" s="1"/>
      <c r="X4" s="1"/>
      <c r="Y4" s="1"/>
      <c r="Z4" s="1"/>
    </row>
    <row r="5" spans="1:26" ht="15" thickBot="1" x14ac:dyDescent="0.35">
      <c r="A5" s="18" t="s">
        <v>37</v>
      </c>
      <c r="B5" s="4">
        <v>45400</v>
      </c>
      <c r="C5" s="1" t="s">
        <v>38</v>
      </c>
      <c r="D5" s="1" t="s">
        <v>39</v>
      </c>
      <c r="E5" s="1" t="s">
        <v>31</v>
      </c>
      <c r="F5" s="1" t="s">
        <v>32</v>
      </c>
      <c r="G5" s="1" t="s">
        <v>33</v>
      </c>
      <c r="H5" s="5">
        <v>3</v>
      </c>
      <c r="I5" s="5">
        <v>59.99</v>
      </c>
      <c r="J5" s="1" t="s">
        <v>20</v>
      </c>
      <c r="K5" s="1" t="s">
        <v>40</v>
      </c>
      <c r="L5" s="1" t="s">
        <v>27</v>
      </c>
      <c r="M5" s="4">
        <v>45114</v>
      </c>
      <c r="N5" s="19">
        <v>179.97</v>
      </c>
      <c r="O5" s="1">
        <f>MONTH(Table1[[#This Row],[Customer_Since]])</f>
        <v>7</v>
      </c>
      <c r="P5" s="1">
        <f>YEAR(Table1[[#This Row],[Customer_Since]])</f>
        <v>2023</v>
      </c>
      <c r="Q5" s="1"/>
      <c r="R5" s="1"/>
      <c r="S5" s="1"/>
      <c r="T5" s="1"/>
      <c r="U5" s="1"/>
      <c r="V5" s="1"/>
      <c r="W5" s="1"/>
      <c r="X5" s="1"/>
      <c r="Y5" s="1"/>
      <c r="Z5" s="1"/>
    </row>
    <row r="6" spans="1:26" ht="15" thickBot="1" x14ac:dyDescent="0.35">
      <c r="A6" s="18" t="s">
        <v>41</v>
      </c>
      <c r="B6" s="4">
        <v>45400</v>
      </c>
      <c r="C6" s="1" t="s">
        <v>42</v>
      </c>
      <c r="D6" s="1" t="s">
        <v>43</v>
      </c>
      <c r="E6" s="1" t="s">
        <v>44</v>
      </c>
      <c r="F6" s="1" t="s">
        <v>45</v>
      </c>
      <c r="G6" s="1" t="s">
        <v>46</v>
      </c>
      <c r="H6" s="5">
        <v>5</v>
      </c>
      <c r="I6" s="5">
        <v>149.99</v>
      </c>
      <c r="J6" s="1" t="s">
        <v>26</v>
      </c>
      <c r="K6" s="1" t="s">
        <v>40</v>
      </c>
      <c r="L6" s="1" t="s">
        <v>27</v>
      </c>
      <c r="M6" s="4">
        <v>45295</v>
      </c>
      <c r="N6" s="19">
        <v>749.95</v>
      </c>
      <c r="O6" s="1">
        <f>MONTH(Table1[[#This Row],[Customer_Since]])</f>
        <v>1</v>
      </c>
      <c r="P6" s="1">
        <f>YEAR(Table1[[#This Row],[Customer_Since]])</f>
        <v>2024</v>
      </c>
      <c r="Q6" s="1"/>
      <c r="R6" s="1"/>
      <c r="S6" s="1"/>
      <c r="T6" s="1"/>
      <c r="U6" s="1"/>
      <c r="V6" s="1"/>
      <c r="W6" s="1"/>
      <c r="X6" s="1"/>
      <c r="Y6" s="1"/>
      <c r="Z6" s="1"/>
    </row>
    <row r="7" spans="1:26" ht="15" thickBot="1" x14ac:dyDescent="0.35">
      <c r="A7" s="18" t="s">
        <v>47</v>
      </c>
      <c r="B7" s="4">
        <v>45403</v>
      </c>
      <c r="C7" s="1" t="s">
        <v>48</v>
      </c>
      <c r="D7" s="1" t="s">
        <v>49</v>
      </c>
      <c r="E7" s="1" t="s">
        <v>31</v>
      </c>
      <c r="F7" s="1" t="s">
        <v>32</v>
      </c>
      <c r="G7" s="1" t="s">
        <v>33</v>
      </c>
      <c r="H7" s="5">
        <v>2</v>
      </c>
      <c r="I7" s="5">
        <v>59.99</v>
      </c>
      <c r="J7" s="1" t="s">
        <v>20</v>
      </c>
      <c r="K7" s="1" t="s">
        <v>50</v>
      </c>
      <c r="L7" s="1" t="s">
        <v>36</v>
      </c>
      <c r="M7" s="4">
        <v>44746</v>
      </c>
      <c r="N7" s="19">
        <v>119.98</v>
      </c>
      <c r="O7" s="1">
        <f>MONTH(Table1[[#This Row],[Customer_Since]])</f>
        <v>7</v>
      </c>
      <c r="P7" s="1">
        <f>YEAR(Table1[[#This Row],[Customer_Since]])</f>
        <v>2022</v>
      </c>
      <c r="Q7" s="1"/>
      <c r="R7" s="1"/>
      <c r="S7" s="1"/>
      <c r="T7" s="1"/>
      <c r="U7" s="1"/>
      <c r="V7" s="1"/>
      <c r="W7" s="1"/>
      <c r="X7" s="1"/>
      <c r="Y7" s="1"/>
      <c r="Z7" s="1"/>
    </row>
    <row r="8" spans="1:26" ht="15" thickBot="1" x14ac:dyDescent="0.35">
      <c r="A8" s="18" t="s">
        <v>51</v>
      </c>
      <c r="B8" s="4">
        <v>45403</v>
      </c>
      <c r="C8" s="1" t="s">
        <v>48</v>
      </c>
      <c r="D8" s="1" t="s">
        <v>49</v>
      </c>
      <c r="E8" s="1" t="s">
        <v>52</v>
      </c>
      <c r="F8" s="1" t="s">
        <v>53</v>
      </c>
      <c r="G8" s="1" t="s">
        <v>19</v>
      </c>
      <c r="H8" s="5">
        <v>5</v>
      </c>
      <c r="I8" s="5">
        <v>149.99</v>
      </c>
      <c r="J8" s="1" t="s">
        <v>26</v>
      </c>
      <c r="K8" s="1" t="s">
        <v>21</v>
      </c>
      <c r="L8" s="1" t="s">
        <v>36</v>
      </c>
      <c r="M8" s="4">
        <v>44418</v>
      </c>
      <c r="N8" s="19">
        <v>749.95</v>
      </c>
      <c r="O8" s="1">
        <f>MONTH(Table1[[#This Row],[Customer_Since]])</f>
        <v>8</v>
      </c>
      <c r="P8" s="1">
        <f>YEAR(Table1[[#This Row],[Customer_Since]])</f>
        <v>2021</v>
      </c>
      <c r="Q8" s="1"/>
      <c r="R8" s="1"/>
      <c r="S8" s="1"/>
      <c r="T8" s="1"/>
      <c r="U8" s="1"/>
      <c r="V8" s="1"/>
      <c r="W8" s="1"/>
      <c r="X8" s="1"/>
      <c r="Y8" s="1"/>
      <c r="Z8" s="1"/>
    </row>
    <row r="9" spans="1:26" ht="15" thickBot="1" x14ac:dyDescent="0.35">
      <c r="A9" s="18" t="s">
        <v>54</v>
      </c>
      <c r="B9" s="4">
        <v>45403</v>
      </c>
      <c r="C9" s="1" t="s">
        <v>55</v>
      </c>
      <c r="D9" s="1" t="s">
        <v>56</v>
      </c>
      <c r="E9" s="1" t="s">
        <v>31</v>
      </c>
      <c r="F9" s="1" t="s">
        <v>32</v>
      </c>
      <c r="G9" s="1" t="s">
        <v>33</v>
      </c>
      <c r="H9" s="5">
        <v>3</v>
      </c>
      <c r="I9" s="5">
        <v>59.99</v>
      </c>
      <c r="J9" s="1" t="s">
        <v>57</v>
      </c>
      <c r="K9" s="1" t="s">
        <v>35</v>
      </c>
      <c r="L9" s="1" t="s">
        <v>22</v>
      </c>
      <c r="M9" s="4">
        <v>45007</v>
      </c>
      <c r="N9" s="19">
        <v>179.97</v>
      </c>
      <c r="O9" s="1">
        <f>MONTH(Table1[[#This Row],[Customer_Since]])</f>
        <v>3</v>
      </c>
      <c r="P9" s="1">
        <f>YEAR(Table1[[#This Row],[Customer_Since]])</f>
        <v>2023</v>
      </c>
      <c r="Q9" s="1"/>
      <c r="R9" s="1"/>
      <c r="S9" s="1"/>
      <c r="T9" s="1"/>
      <c r="U9" s="1"/>
      <c r="V9" s="1"/>
      <c r="W9" s="1"/>
      <c r="X9" s="1"/>
      <c r="Y9" s="1"/>
      <c r="Z9" s="1"/>
    </row>
    <row r="10" spans="1:26" ht="15" thickBot="1" x14ac:dyDescent="0.35">
      <c r="A10" s="18" t="s">
        <v>58</v>
      </c>
      <c r="B10" s="4">
        <v>45405</v>
      </c>
      <c r="C10" s="1" t="s">
        <v>59</v>
      </c>
      <c r="D10" s="1" t="s">
        <v>60</v>
      </c>
      <c r="E10" s="1" t="s">
        <v>61</v>
      </c>
      <c r="F10" s="1" t="s">
        <v>62</v>
      </c>
      <c r="G10" s="1" t="s">
        <v>19</v>
      </c>
      <c r="H10" s="5">
        <v>3</v>
      </c>
      <c r="I10" s="5">
        <v>899.99</v>
      </c>
      <c r="J10" s="1" t="s">
        <v>34</v>
      </c>
      <c r="K10" s="1" t="s">
        <v>63</v>
      </c>
      <c r="L10" s="1" t="s">
        <v>36</v>
      </c>
      <c r="M10" s="4">
        <v>45299</v>
      </c>
      <c r="N10" s="19">
        <v>2699.97</v>
      </c>
      <c r="O10" s="1">
        <f>MONTH(Table1[[#This Row],[Customer_Since]])</f>
        <v>1</v>
      </c>
      <c r="P10" s="1">
        <f>YEAR(Table1[[#This Row],[Customer_Since]])</f>
        <v>2024</v>
      </c>
      <c r="Q10" s="1"/>
      <c r="R10" s="1"/>
      <c r="S10" s="1"/>
      <c r="T10" s="1"/>
      <c r="U10" s="1"/>
      <c r="V10" s="1"/>
      <c r="W10" s="1"/>
      <c r="X10" s="1"/>
      <c r="Y10" s="1"/>
      <c r="Z10" s="1"/>
    </row>
    <row r="11" spans="1:26" ht="15" thickBot="1" x14ac:dyDescent="0.35">
      <c r="A11" s="18" t="s">
        <v>64</v>
      </c>
      <c r="B11" s="4">
        <v>45408</v>
      </c>
      <c r="C11" s="1" t="s">
        <v>65</v>
      </c>
      <c r="D11" s="1" t="s">
        <v>66</v>
      </c>
      <c r="E11" s="1" t="s">
        <v>31</v>
      </c>
      <c r="F11" s="1" t="s">
        <v>32</v>
      </c>
      <c r="G11" s="1" t="s">
        <v>33</v>
      </c>
      <c r="H11" s="5">
        <v>3</v>
      </c>
      <c r="I11" s="5">
        <v>59.99</v>
      </c>
      <c r="J11" s="1" t="s">
        <v>20</v>
      </c>
      <c r="K11" s="1" t="s">
        <v>50</v>
      </c>
      <c r="L11" s="1" t="s">
        <v>27</v>
      </c>
      <c r="M11" s="4">
        <v>45207</v>
      </c>
      <c r="N11" s="19">
        <v>179.97</v>
      </c>
      <c r="O11" s="1">
        <f>MONTH(Table1[[#This Row],[Customer_Since]])</f>
        <v>10</v>
      </c>
      <c r="P11" s="1">
        <f>YEAR(Table1[[#This Row],[Customer_Since]])</f>
        <v>2023</v>
      </c>
      <c r="Q11" s="1"/>
      <c r="R11" s="1"/>
      <c r="S11" s="1"/>
      <c r="T11" s="1"/>
      <c r="U11" s="1"/>
      <c r="V11" s="1"/>
      <c r="W11" s="1"/>
      <c r="X11" s="1"/>
      <c r="Y11" s="1"/>
      <c r="Z11" s="1"/>
    </row>
    <row r="12" spans="1:26" ht="15" thickBot="1" x14ac:dyDescent="0.35">
      <c r="A12" s="18" t="s">
        <v>67</v>
      </c>
      <c r="B12" s="4">
        <v>45408</v>
      </c>
      <c r="C12" s="1" t="s">
        <v>68</v>
      </c>
      <c r="D12" s="1" t="s">
        <v>69</v>
      </c>
      <c r="E12" s="1" t="s">
        <v>44</v>
      </c>
      <c r="F12" s="1" t="s">
        <v>45</v>
      </c>
      <c r="G12" s="1" t="s">
        <v>46</v>
      </c>
      <c r="H12" s="5">
        <v>1</v>
      </c>
      <c r="I12" s="5">
        <v>149.99</v>
      </c>
      <c r="J12" s="1" t="s">
        <v>26</v>
      </c>
      <c r="K12" s="1" t="s">
        <v>50</v>
      </c>
      <c r="L12" s="1" t="s">
        <v>36</v>
      </c>
      <c r="M12" s="4">
        <v>45103</v>
      </c>
      <c r="N12" s="19">
        <v>149.99</v>
      </c>
      <c r="O12" s="1">
        <f>MONTH(Table1[[#This Row],[Customer_Since]])</f>
        <v>6</v>
      </c>
      <c r="P12" s="1">
        <f>YEAR(Table1[[#This Row],[Customer_Since]])</f>
        <v>2023</v>
      </c>
      <c r="Q12" s="1"/>
      <c r="R12" s="1"/>
      <c r="S12" s="1"/>
      <c r="T12" s="1"/>
      <c r="U12" s="1"/>
      <c r="V12" s="1"/>
      <c r="W12" s="1"/>
      <c r="X12" s="1"/>
      <c r="Y12" s="1"/>
      <c r="Z12" s="1"/>
    </row>
    <row r="13" spans="1:26" ht="15" thickBot="1" x14ac:dyDescent="0.35">
      <c r="A13" s="18" t="s">
        <v>70</v>
      </c>
      <c r="B13" s="4">
        <v>45408</v>
      </c>
      <c r="C13" s="1" t="s">
        <v>38</v>
      </c>
      <c r="D13" s="1" t="s">
        <v>39</v>
      </c>
      <c r="E13" s="1" t="s">
        <v>44</v>
      </c>
      <c r="F13" s="1" t="s">
        <v>45</v>
      </c>
      <c r="G13" s="1" t="s">
        <v>46</v>
      </c>
      <c r="H13" s="5">
        <v>5</v>
      </c>
      <c r="I13" s="5">
        <v>149.99</v>
      </c>
      <c r="J13" s="1" t="s">
        <v>57</v>
      </c>
      <c r="K13" s="1" t="s">
        <v>40</v>
      </c>
      <c r="L13" s="1" t="s">
        <v>22</v>
      </c>
      <c r="M13" s="4">
        <v>44830</v>
      </c>
      <c r="N13" s="19">
        <v>749.95</v>
      </c>
      <c r="O13" s="1">
        <f>MONTH(Table1[[#This Row],[Customer_Since]])</f>
        <v>9</v>
      </c>
      <c r="P13" s="1">
        <f>YEAR(Table1[[#This Row],[Customer_Since]])</f>
        <v>2022</v>
      </c>
      <c r="Q13" s="1"/>
      <c r="R13" s="1"/>
      <c r="S13" s="1"/>
      <c r="T13" s="1"/>
      <c r="U13" s="1"/>
      <c r="V13" s="1"/>
      <c r="W13" s="1"/>
      <c r="X13" s="1"/>
      <c r="Y13" s="1"/>
      <c r="Z13" s="1"/>
    </row>
    <row r="14" spans="1:26" ht="15" thickBot="1" x14ac:dyDescent="0.35">
      <c r="A14" s="18" t="s">
        <v>71</v>
      </c>
      <c r="B14" s="4">
        <v>45408</v>
      </c>
      <c r="C14" s="1" t="s">
        <v>72</v>
      </c>
      <c r="D14" s="1" t="s">
        <v>73</v>
      </c>
      <c r="E14" s="1" t="s">
        <v>44</v>
      </c>
      <c r="F14" s="1" t="s">
        <v>45</v>
      </c>
      <c r="G14" s="1" t="s">
        <v>46</v>
      </c>
      <c r="H14" s="5">
        <v>3</v>
      </c>
      <c r="I14" s="5">
        <v>149.99</v>
      </c>
      <c r="J14" s="1" t="s">
        <v>20</v>
      </c>
      <c r="K14" s="1" t="s">
        <v>40</v>
      </c>
      <c r="L14" s="1" t="s">
        <v>27</v>
      </c>
      <c r="M14" s="4">
        <v>44806</v>
      </c>
      <c r="N14" s="19">
        <v>449.97</v>
      </c>
      <c r="O14" s="1">
        <f>MONTH(Table1[[#This Row],[Customer_Since]])</f>
        <v>9</v>
      </c>
      <c r="P14" s="1">
        <f>YEAR(Table1[[#This Row],[Customer_Since]])</f>
        <v>2022</v>
      </c>
      <c r="Q14" s="1"/>
      <c r="R14" s="1"/>
      <c r="S14" s="1"/>
      <c r="T14" s="1"/>
      <c r="U14" s="1"/>
      <c r="V14" s="1"/>
      <c r="W14" s="1"/>
      <c r="X14" s="1"/>
      <c r="Y14" s="1"/>
      <c r="Z14" s="1"/>
    </row>
    <row r="15" spans="1:26" ht="15" thickBot="1" x14ac:dyDescent="0.35">
      <c r="A15" s="18" t="s">
        <v>74</v>
      </c>
      <c r="B15" s="4">
        <v>45409</v>
      </c>
      <c r="C15" s="1" t="s">
        <v>75</v>
      </c>
      <c r="D15" s="1" t="s">
        <v>76</v>
      </c>
      <c r="E15" s="1" t="s">
        <v>31</v>
      </c>
      <c r="F15" s="1" t="s">
        <v>32</v>
      </c>
      <c r="G15" s="1" t="s">
        <v>33</v>
      </c>
      <c r="H15" s="5">
        <v>3</v>
      </c>
      <c r="I15" s="5">
        <v>59.99</v>
      </c>
      <c r="J15" s="1" t="s">
        <v>26</v>
      </c>
      <c r="K15" s="1" t="s">
        <v>40</v>
      </c>
      <c r="L15" s="1" t="s">
        <v>36</v>
      </c>
      <c r="M15" s="4">
        <v>45351</v>
      </c>
      <c r="N15" s="19">
        <v>179.97</v>
      </c>
      <c r="O15" s="1">
        <f>MONTH(Table1[[#This Row],[Customer_Since]])</f>
        <v>2</v>
      </c>
      <c r="P15" s="1">
        <f>YEAR(Table1[[#This Row],[Customer_Since]])</f>
        <v>2024</v>
      </c>
      <c r="Q15" s="1"/>
      <c r="R15" s="1"/>
      <c r="S15" s="1"/>
      <c r="T15" s="1"/>
      <c r="U15" s="1"/>
      <c r="V15" s="1"/>
      <c r="W15" s="1"/>
      <c r="X15" s="1"/>
      <c r="Y15" s="1"/>
      <c r="Z15" s="1"/>
    </row>
    <row r="16" spans="1:26" ht="15" thickBot="1" x14ac:dyDescent="0.35">
      <c r="A16" s="18" t="s">
        <v>77</v>
      </c>
      <c r="B16" s="4">
        <v>45409</v>
      </c>
      <c r="C16" s="1" t="s">
        <v>78</v>
      </c>
      <c r="D16" s="1" t="s">
        <v>79</v>
      </c>
      <c r="E16" s="1" t="s">
        <v>80</v>
      </c>
      <c r="F16" s="1" t="s">
        <v>81</v>
      </c>
      <c r="G16" s="1" t="s">
        <v>19</v>
      </c>
      <c r="H16" s="5">
        <v>3</v>
      </c>
      <c r="I16" s="5">
        <v>699.99</v>
      </c>
      <c r="J16" s="1" t="s">
        <v>26</v>
      </c>
      <c r="K16" s="1" t="s">
        <v>50</v>
      </c>
      <c r="L16" s="1" t="s">
        <v>22</v>
      </c>
      <c r="M16" s="4">
        <v>44577</v>
      </c>
      <c r="N16" s="19">
        <v>2099.9699999999998</v>
      </c>
      <c r="O16" s="1">
        <f>MONTH(Table1[[#This Row],[Customer_Since]])</f>
        <v>1</v>
      </c>
      <c r="P16" s="1">
        <f>YEAR(Table1[[#This Row],[Customer_Since]])</f>
        <v>2022</v>
      </c>
      <c r="Q16" s="1"/>
      <c r="R16" s="1"/>
      <c r="S16" s="1"/>
      <c r="T16" s="1"/>
      <c r="U16" s="1"/>
      <c r="V16" s="1"/>
      <c r="W16" s="1"/>
      <c r="X16" s="1"/>
      <c r="Y16" s="1"/>
      <c r="Z16" s="1"/>
    </row>
    <row r="17" spans="1:26" ht="15" thickBot="1" x14ac:dyDescent="0.35">
      <c r="A17" s="18" t="s">
        <v>82</v>
      </c>
      <c r="B17" s="4">
        <v>45409</v>
      </c>
      <c r="C17" s="1" t="s">
        <v>83</v>
      </c>
      <c r="D17" s="1" t="s">
        <v>84</v>
      </c>
      <c r="E17" s="1" t="s">
        <v>61</v>
      </c>
      <c r="F17" s="1" t="s">
        <v>62</v>
      </c>
      <c r="G17" s="1" t="s">
        <v>19</v>
      </c>
      <c r="H17" s="5">
        <v>1</v>
      </c>
      <c r="I17" s="5">
        <v>899.99</v>
      </c>
      <c r="J17" s="1" t="s">
        <v>57</v>
      </c>
      <c r="K17" s="1" t="s">
        <v>40</v>
      </c>
      <c r="L17" s="1" t="s">
        <v>36</v>
      </c>
      <c r="M17" s="4">
        <v>44920</v>
      </c>
      <c r="N17" s="19">
        <v>899.99</v>
      </c>
      <c r="O17" s="1">
        <f>MONTH(Table1[[#This Row],[Customer_Since]])</f>
        <v>12</v>
      </c>
      <c r="P17" s="1">
        <f>YEAR(Table1[[#This Row],[Customer_Since]])</f>
        <v>2022</v>
      </c>
      <c r="Q17" s="1"/>
      <c r="R17" s="1"/>
      <c r="S17" s="1"/>
      <c r="T17" s="1"/>
      <c r="U17" s="1"/>
      <c r="V17" s="1"/>
      <c r="W17" s="1"/>
      <c r="X17" s="1"/>
      <c r="Y17" s="1"/>
      <c r="Z17" s="1"/>
    </row>
    <row r="18" spans="1:26" ht="15" thickBot="1" x14ac:dyDescent="0.35">
      <c r="A18" s="18" t="s">
        <v>85</v>
      </c>
      <c r="B18" s="4">
        <v>45410</v>
      </c>
      <c r="C18" s="1" t="s">
        <v>86</v>
      </c>
      <c r="D18" s="1" t="s">
        <v>87</v>
      </c>
      <c r="E18" s="1" t="s">
        <v>44</v>
      </c>
      <c r="F18" s="1" t="s">
        <v>45</v>
      </c>
      <c r="G18" s="1" t="s">
        <v>46</v>
      </c>
      <c r="H18" s="5">
        <v>4</v>
      </c>
      <c r="I18" s="5">
        <v>149.99</v>
      </c>
      <c r="J18" s="1" t="s">
        <v>57</v>
      </c>
      <c r="K18" s="1" t="s">
        <v>40</v>
      </c>
      <c r="L18" s="1" t="s">
        <v>27</v>
      </c>
      <c r="M18" s="4">
        <v>45374</v>
      </c>
      <c r="N18" s="19">
        <v>599.96</v>
      </c>
      <c r="O18" s="1">
        <f>MONTH(Table1[[#This Row],[Customer_Since]])</f>
        <v>3</v>
      </c>
      <c r="P18" s="1">
        <f>YEAR(Table1[[#This Row],[Customer_Since]])</f>
        <v>2024</v>
      </c>
      <c r="Q18" s="1"/>
      <c r="R18" s="1"/>
      <c r="S18" s="1"/>
      <c r="T18" s="1"/>
      <c r="U18" s="1"/>
      <c r="V18" s="1"/>
      <c r="W18" s="1"/>
      <c r="X18" s="1"/>
      <c r="Y18" s="1"/>
      <c r="Z18" s="1"/>
    </row>
    <row r="19" spans="1:26" ht="15" thickBot="1" x14ac:dyDescent="0.35">
      <c r="A19" s="18" t="s">
        <v>88</v>
      </c>
      <c r="B19" s="4">
        <v>45410</v>
      </c>
      <c r="C19" s="1" t="s">
        <v>89</v>
      </c>
      <c r="D19" s="1" t="s">
        <v>90</v>
      </c>
      <c r="E19" s="1" t="s">
        <v>80</v>
      </c>
      <c r="F19" s="1" t="s">
        <v>81</v>
      </c>
      <c r="G19" s="1" t="s">
        <v>19</v>
      </c>
      <c r="H19" s="5">
        <v>2</v>
      </c>
      <c r="I19" s="5">
        <v>699.99</v>
      </c>
      <c r="J19" s="1" t="s">
        <v>20</v>
      </c>
      <c r="K19" s="1" t="s">
        <v>40</v>
      </c>
      <c r="L19" s="1" t="s">
        <v>22</v>
      </c>
      <c r="M19" s="4">
        <v>44781</v>
      </c>
      <c r="N19" s="19">
        <v>1399.98</v>
      </c>
      <c r="O19" s="1">
        <f>MONTH(Table1[[#This Row],[Customer_Since]])</f>
        <v>8</v>
      </c>
      <c r="P19" s="1">
        <f>YEAR(Table1[[#This Row],[Customer_Since]])</f>
        <v>2022</v>
      </c>
      <c r="Q19" s="1"/>
      <c r="R19" s="1"/>
      <c r="S19" s="1"/>
      <c r="T19" s="1"/>
      <c r="U19" s="1"/>
      <c r="V19" s="1"/>
      <c r="W19" s="1"/>
      <c r="X19" s="1"/>
      <c r="Y19" s="1"/>
      <c r="Z19" s="1"/>
    </row>
    <row r="20" spans="1:26" ht="15" thickBot="1" x14ac:dyDescent="0.35">
      <c r="A20" s="18" t="s">
        <v>91</v>
      </c>
      <c r="B20" s="4">
        <v>45410</v>
      </c>
      <c r="C20" s="1" t="s">
        <v>86</v>
      </c>
      <c r="D20" s="1" t="s">
        <v>87</v>
      </c>
      <c r="E20" s="1" t="s">
        <v>61</v>
      </c>
      <c r="F20" s="1" t="s">
        <v>62</v>
      </c>
      <c r="G20" s="1" t="s">
        <v>19</v>
      </c>
      <c r="H20" s="5">
        <v>4</v>
      </c>
      <c r="I20" s="5">
        <v>899.99</v>
      </c>
      <c r="J20" s="1" t="s">
        <v>26</v>
      </c>
      <c r="K20" s="1" t="s">
        <v>50</v>
      </c>
      <c r="L20" s="1" t="s">
        <v>36</v>
      </c>
      <c r="M20" s="4">
        <v>45327</v>
      </c>
      <c r="N20" s="19">
        <v>3599.96</v>
      </c>
      <c r="O20" s="1">
        <f>MONTH(Table1[[#This Row],[Customer_Since]])</f>
        <v>2</v>
      </c>
      <c r="P20" s="1">
        <f>YEAR(Table1[[#This Row],[Customer_Since]])</f>
        <v>2024</v>
      </c>
      <c r="Q20" s="1"/>
      <c r="R20" s="1"/>
      <c r="S20" s="1"/>
      <c r="T20" s="1"/>
      <c r="U20" s="1"/>
      <c r="V20" s="1"/>
      <c r="W20" s="1"/>
      <c r="X20" s="1"/>
      <c r="Y20" s="1"/>
      <c r="Z20" s="1"/>
    </row>
    <row r="21" spans="1:26" ht="15" thickBot="1" x14ac:dyDescent="0.35">
      <c r="A21" s="18" t="s">
        <v>92</v>
      </c>
      <c r="B21" s="4">
        <v>45410</v>
      </c>
      <c r="C21" s="1" t="s">
        <v>93</v>
      </c>
      <c r="D21" s="1" t="s">
        <v>94</v>
      </c>
      <c r="E21" s="1" t="s">
        <v>17</v>
      </c>
      <c r="F21" s="1" t="s">
        <v>18</v>
      </c>
      <c r="G21" s="1" t="s">
        <v>19</v>
      </c>
      <c r="H21" s="5">
        <v>3</v>
      </c>
      <c r="I21" s="5">
        <v>249.99</v>
      </c>
      <c r="J21" s="1" t="s">
        <v>26</v>
      </c>
      <c r="K21" s="1" t="s">
        <v>40</v>
      </c>
      <c r="L21" s="1" t="s">
        <v>27</v>
      </c>
      <c r="M21" s="4">
        <v>45224</v>
      </c>
      <c r="N21" s="19">
        <v>749.97</v>
      </c>
      <c r="O21" s="1">
        <f>MONTH(Table1[[#This Row],[Customer_Since]])</f>
        <v>10</v>
      </c>
      <c r="P21" s="1">
        <f>YEAR(Table1[[#This Row],[Customer_Since]])</f>
        <v>2023</v>
      </c>
      <c r="Q21" s="1"/>
      <c r="R21" s="1"/>
      <c r="S21" s="1"/>
      <c r="T21" s="1"/>
      <c r="U21" s="1"/>
      <c r="V21" s="1"/>
      <c r="W21" s="1"/>
      <c r="X21" s="1"/>
      <c r="Y21" s="1"/>
      <c r="Z21" s="1"/>
    </row>
    <row r="22" spans="1:26" ht="15" thickBot="1" x14ac:dyDescent="0.35">
      <c r="A22" s="18" t="s">
        <v>95</v>
      </c>
      <c r="B22" s="4">
        <v>45412</v>
      </c>
      <c r="C22" s="1" t="s">
        <v>96</v>
      </c>
      <c r="D22" s="1" t="s">
        <v>97</v>
      </c>
      <c r="E22" s="1" t="s">
        <v>80</v>
      </c>
      <c r="F22" s="1" t="s">
        <v>81</v>
      </c>
      <c r="G22" s="1" t="s">
        <v>19</v>
      </c>
      <c r="H22" s="5">
        <v>5</v>
      </c>
      <c r="I22" s="5">
        <v>699.99</v>
      </c>
      <c r="J22" s="1" t="s">
        <v>20</v>
      </c>
      <c r="K22" s="1" t="s">
        <v>50</v>
      </c>
      <c r="L22" s="1" t="s">
        <v>22</v>
      </c>
      <c r="M22" s="4">
        <v>45167</v>
      </c>
      <c r="N22" s="19">
        <v>3499.95</v>
      </c>
      <c r="O22" s="1">
        <f>MONTH(Table1[[#This Row],[Customer_Since]])</f>
        <v>8</v>
      </c>
      <c r="P22" s="1">
        <f>YEAR(Table1[[#This Row],[Customer_Since]])</f>
        <v>2023</v>
      </c>
      <c r="Q22" s="1"/>
      <c r="R22" s="1"/>
      <c r="S22" s="1"/>
      <c r="T22" s="1"/>
      <c r="U22" s="1"/>
      <c r="V22" s="1"/>
      <c r="W22" s="1"/>
      <c r="X22" s="1"/>
      <c r="Y22" s="1"/>
      <c r="Z22" s="1"/>
    </row>
    <row r="23" spans="1:26" ht="15" thickBot="1" x14ac:dyDescent="0.35">
      <c r="A23" s="18" t="s">
        <v>98</v>
      </c>
      <c r="B23" s="4">
        <v>45413</v>
      </c>
      <c r="C23" s="1" t="s">
        <v>99</v>
      </c>
      <c r="D23" s="1" t="s">
        <v>100</v>
      </c>
      <c r="E23" s="1" t="s">
        <v>80</v>
      </c>
      <c r="F23" s="1" t="s">
        <v>81</v>
      </c>
      <c r="G23" s="1" t="s">
        <v>19</v>
      </c>
      <c r="H23" s="5">
        <v>4</v>
      </c>
      <c r="I23" s="5">
        <v>699.99</v>
      </c>
      <c r="J23" s="1" t="s">
        <v>20</v>
      </c>
      <c r="K23" s="1" t="s">
        <v>63</v>
      </c>
      <c r="L23" s="1" t="s">
        <v>36</v>
      </c>
      <c r="M23" s="4">
        <v>44409</v>
      </c>
      <c r="N23" s="19">
        <v>2799.96</v>
      </c>
      <c r="O23" s="1">
        <f>MONTH(Table1[[#This Row],[Customer_Since]])</f>
        <v>8</v>
      </c>
      <c r="P23" s="1">
        <f>YEAR(Table1[[#This Row],[Customer_Since]])</f>
        <v>2021</v>
      </c>
      <c r="Q23" s="1"/>
      <c r="R23" s="1"/>
      <c r="S23" s="1"/>
      <c r="T23" s="1"/>
      <c r="U23" s="1"/>
      <c r="V23" s="1"/>
      <c r="W23" s="1"/>
      <c r="X23" s="1"/>
      <c r="Y23" s="1"/>
      <c r="Z23" s="1"/>
    </row>
    <row r="24" spans="1:26" ht="15" thickBot="1" x14ac:dyDescent="0.35">
      <c r="A24" s="18" t="s">
        <v>101</v>
      </c>
      <c r="B24" s="4">
        <v>45415</v>
      </c>
      <c r="C24" s="1" t="s">
        <v>102</v>
      </c>
      <c r="D24" s="1" t="s">
        <v>103</v>
      </c>
      <c r="E24" s="1" t="s">
        <v>17</v>
      </c>
      <c r="F24" s="1" t="s">
        <v>18</v>
      </c>
      <c r="G24" s="1" t="s">
        <v>19</v>
      </c>
      <c r="H24" s="5">
        <v>4</v>
      </c>
      <c r="I24" s="5">
        <v>249.99</v>
      </c>
      <c r="J24" s="1" t="s">
        <v>34</v>
      </c>
      <c r="K24" s="1" t="s">
        <v>40</v>
      </c>
      <c r="L24" s="1" t="s">
        <v>36</v>
      </c>
      <c r="M24" s="4">
        <v>44468</v>
      </c>
      <c r="N24" s="19">
        <v>999.96</v>
      </c>
      <c r="O24" s="1">
        <f>MONTH(Table1[[#This Row],[Customer_Since]])</f>
        <v>9</v>
      </c>
      <c r="P24" s="1">
        <f>YEAR(Table1[[#This Row],[Customer_Since]])</f>
        <v>2021</v>
      </c>
      <c r="Q24" s="1"/>
      <c r="R24" s="1"/>
      <c r="S24" s="1"/>
      <c r="T24" s="1"/>
      <c r="U24" s="1"/>
      <c r="V24" s="1"/>
      <c r="W24" s="1"/>
      <c r="X24" s="1"/>
      <c r="Y24" s="1"/>
      <c r="Z24" s="1"/>
    </row>
    <row r="25" spans="1:26" ht="15" thickBot="1" x14ac:dyDescent="0.35">
      <c r="A25" s="18" t="s">
        <v>104</v>
      </c>
      <c r="B25" s="4">
        <v>45416</v>
      </c>
      <c r="C25" s="1" t="s">
        <v>86</v>
      </c>
      <c r="D25" s="1" t="s">
        <v>87</v>
      </c>
      <c r="E25" s="1" t="s">
        <v>105</v>
      </c>
      <c r="F25" s="1" t="s">
        <v>106</v>
      </c>
      <c r="G25" s="1" t="s">
        <v>46</v>
      </c>
      <c r="H25" s="5">
        <v>4</v>
      </c>
      <c r="I25" s="5">
        <v>299.99</v>
      </c>
      <c r="J25" s="1" t="s">
        <v>20</v>
      </c>
      <c r="K25" s="1" t="s">
        <v>50</v>
      </c>
      <c r="L25" s="1" t="s">
        <v>27</v>
      </c>
      <c r="M25" s="4">
        <v>44716</v>
      </c>
      <c r="N25" s="19">
        <v>1199.96</v>
      </c>
      <c r="O25" s="1">
        <f>MONTH(Table1[[#This Row],[Customer_Since]])</f>
        <v>6</v>
      </c>
      <c r="P25" s="1">
        <f>YEAR(Table1[[#This Row],[Customer_Since]])</f>
        <v>2022</v>
      </c>
      <c r="Q25" s="1"/>
      <c r="R25" s="1"/>
      <c r="S25" s="1"/>
      <c r="T25" s="1"/>
      <c r="U25" s="1"/>
      <c r="V25" s="1"/>
      <c r="W25" s="1"/>
      <c r="X25" s="1"/>
      <c r="Y25" s="1"/>
      <c r="Z25" s="1"/>
    </row>
    <row r="26" spans="1:26" ht="15" thickBot="1" x14ac:dyDescent="0.35">
      <c r="A26" s="18" t="s">
        <v>107</v>
      </c>
      <c r="B26" s="4">
        <v>45422</v>
      </c>
      <c r="C26" s="1" t="s">
        <v>108</v>
      </c>
      <c r="D26" s="1" t="s">
        <v>109</v>
      </c>
      <c r="E26" s="1" t="s">
        <v>17</v>
      </c>
      <c r="F26" s="1" t="s">
        <v>18</v>
      </c>
      <c r="G26" s="1" t="s">
        <v>19</v>
      </c>
      <c r="H26" s="5">
        <v>5</v>
      </c>
      <c r="I26" s="5">
        <v>249.99</v>
      </c>
      <c r="J26" s="1" t="s">
        <v>26</v>
      </c>
      <c r="K26" s="1" t="s">
        <v>50</v>
      </c>
      <c r="L26" s="1" t="s">
        <v>36</v>
      </c>
      <c r="M26" s="4">
        <v>44525</v>
      </c>
      <c r="N26" s="19">
        <v>1249.95</v>
      </c>
      <c r="O26" s="1">
        <f>MONTH(Table1[[#This Row],[Customer_Since]])</f>
        <v>11</v>
      </c>
      <c r="P26" s="1">
        <f>YEAR(Table1[[#This Row],[Customer_Since]])</f>
        <v>2021</v>
      </c>
      <c r="Q26" s="1"/>
      <c r="R26" s="1"/>
      <c r="S26" s="1"/>
      <c r="T26" s="1"/>
      <c r="U26" s="1"/>
      <c r="V26" s="1"/>
      <c r="W26" s="1"/>
      <c r="X26" s="1"/>
      <c r="Y26" s="1"/>
      <c r="Z26" s="1"/>
    </row>
    <row r="27" spans="1:26" ht="15" thickBot="1" x14ac:dyDescent="0.35">
      <c r="A27" s="18" t="s">
        <v>110</v>
      </c>
      <c r="B27" s="4">
        <v>45424</v>
      </c>
      <c r="C27" s="1" t="s">
        <v>68</v>
      </c>
      <c r="D27" s="1" t="s">
        <v>69</v>
      </c>
      <c r="E27" s="1" t="s">
        <v>105</v>
      </c>
      <c r="F27" s="1" t="s">
        <v>106</v>
      </c>
      <c r="G27" s="1" t="s">
        <v>46</v>
      </c>
      <c r="H27" s="5">
        <v>5</v>
      </c>
      <c r="I27" s="5">
        <v>299.99</v>
      </c>
      <c r="J27" s="1" t="s">
        <v>34</v>
      </c>
      <c r="K27" s="1" t="s">
        <v>63</v>
      </c>
      <c r="L27" s="1" t="s">
        <v>22</v>
      </c>
      <c r="M27" s="4">
        <v>45168</v>
      </c>
      <c r="N27" s="19">
        <v>1499.95</v>
      </c>
      <c r="O27" s="1">
        <f>MONTH(Table1[[#This Row],[Customer_Since]])</f>
        <v>8</v>
      </c>
      <c r="P27" s="1">
        <f>YEAR(Table1[[#This Row],[Customer_Since]])</f>
        <v>2023</v>
      </c>
      <c r="Q27" s="1"/>
      <c r="R27" s="1"/>
      <c r="S27" s="1"/>
      <c r="T27" s="1"/>
      <c r="U27" s="1"/>
      <c r="V27" s="1"/>
      <c r="W27" s="1"/>
      <c r="X27" s="1"/>
      <c r="Y27" s="1"/>
      <c r="Z27" s="1"/>
    </row>
    <row r="28" spans="1:26" ht="15" thickBot="1" x14ac:dyDescent="0.35">
      <c r="A28" s="18" t="s">
        <v>111</v>
      </c>
      <c r="B28" s="4">
        <v>45424</v>
      </c>
      <c r="C28" s="1" t="s">
        <v>112</v>
      </c>
      <c r="D28" s="1" t="s">
        <v>113</v>
      </c>
      <c r="E28" s="1" t="s">
        <v>114</v>
      </c>
      <c r="F28" s="1" t="s">
        <v>115</v>
      </c>
      <c r="G28" s="1" t="s">
        <v>33</v>
      </c>
      <c r="H28" s="5">
        <v>3</v>
      </c>
      <c r="I28" s="5">
        <v>79.989999999999995</v>
      </c>
      <c r="J28" s="1" t="s">
        <v>34</v>
      </c>
      <c r="K28" s="1" t="s">
        <v>63</v>
      </c>
      <c r="L28" s="1" t="s">
        <v>27</v>
      </c>
      <c r="M28" s="4">
        <v>45012</v>
      </c>
      <c r="N28" s="19">
        <v>239.97</v>
      </c>
      <c r="O28" s="1">
        <f>MONTH(Table1[[#This Row],[Customer_Since]])</f>
        <v>3</v>
      </c>
      <c r="P28" s="1">
        <f>YEAR(Table1[[#This Row],[Customer_Since]])</f>
        <v>2023</v>
      </c>
      <c r="Q28" s="1"/>
      <c r="R28" s="1"/>
      <c r="S28" s="1"/>
      <c r="T28" s="1"/>
      <c r="U28" s="1"/>
      <c r="V28" s="1"/>
      <c r="W28" s="1"/>
      <c r="X28" s="1"/>
      <c r="Y28" s="1"/>
      <c r="Z28" s="1"/>
    </row>
    <row r="29" spans="1:26" ht="15" thickBot="1" x14ac:dyDescent="0.35">
      <c r="A29" s="18" t="s">
        <v>116</v>
      </c>
      <c r="B29" s="4">
        <v>45424</v>
      </c>
      <c r="C29" s="1" t="s">
        <v>99</v>
      </c>
      <c r="D29" s="1" t="s">
        <v>100</v>
      </c>
      <c r="E29" s="1" t="s">
        <v>117</v>
      </c>
      <c r="F29" s="1" t="s">
        <v>118</v>
      </c>
      <c r="G29" s="1" t="s">
        <v>19</v>
      </c>
      <c r="H29" s="5">
        <v>5</v>
      </c>
      <c r="I29" s="5">
        <v>89.99</v>
      </c>
      <c r="J29" s="1" t="s">
        <v>20</v>
      </c>
      <c r="K29" s="1" t="s">
        <v>40</v>
      </c>
      <c r="L29" s="1" t="s">
        <v>27</v>
      </c>
      <c r="M29" s="4">
        <v>44919</v>
      </c>
      <c r="N29" s="19">
        <v>449.95</v>
      </c>
      <c r="O29" s="1">
        <f>MONTH(Table1[[#This Row],[Customer_Since]])</f>
        <v>12</v>
      </c>
      <c r="P29" s="1">
        <f>YEAR(Table1[[#This Row],[Customer_Since]])</f>
        <v>2022</v>
      </c>
      <c r="Q29" s="1"/>
      <c r="R29" s="1"/>
      <c r="S29" s="1"/>
      <c r="T29" s="1"/>
      <c r="U29" s="1"/>
      <c r="V29" s="1"/>
      <c r="W29" s="1"/>
      <c r="X29" s="1"/>
      <c r="Y29" s="1"/>
      <c r="Z29" s="1"/>
    </row>
    <row r="30" spans="1:26" ht="15" thickBot="1" x14ac:dyDescent="0.35">
      <c r="A30" s="18" t="s">
        <v>119</v>
      </c>
      <c r="B30" s="4">
        <v>45425</v>
      </c>
      <c r="C30" s="1" t="s">
        <v>120</v>
      </c>
      <c r="D30" s="1" t="s">
        <v>121</v>
      </c>
      <c r="E30" s="1" t="s">
        <v>31</v>
      </c>
      <c r="F30" s="1" t="s">
        <v>32</v>
      </c>
      <c r="G30" s="1" t="s">
        <v>33</v>
      </c>
      <c r="H30" s="5">
        <v>2</v>
      </c>
      <c r="I30" s="5">
        <v>59.99</v>
      </c>
      <c r="J30" s="1" t="s">
        <v>57</v>
      </c>
      <c r="K30" s="1" t="s">
        <v>21</v>
      </c>
      <c r="L30" s="1" t="s">
        <v>36</v>
      </c>
      <c r="M30" s="4">
        <v>45214</v>
      </c>
      <c r="N30" s="19">
        <v>119.98</v>
      </c>
      <c r="O30" s="1">
        <f>MONTH(Table1[[#This Row],[Customer_Since]])</f>
        <v>10</v>
      </c>
      <c r="P30" s="1">
        <f>YEAR(Table1[[#This Row],[Customer_Since]])</f>
        <v>2023</v>
      </c>
      <c r="Q30" s="1"/>
      <c r="R30" s="1"/>
      <c r="S30" s="1"/>
      <c r="T30" s="1"/>
      <c r="U30" s="1"/>
      <c r="V30" s="1"/>
      <c r="W30" s="1"/>
      <c r="X30" s="1"/>
      <c r="Y30" s="1"/>
      <c r="Z30" s="1"/>
    </row>
    <row r="31" spans="1:26" ht="15" thickBot="1" x14ac:dyDescent="0.35">
      <c r="A31" s="18" t="s">
        <v>122</v>
      </c>
      <c r="B31" s="4">
        <v>45427</v>
      </c>
      <c r="C31" s="1" t="s">
        <v>123</v>
      </c>
      <c r="D31" s="1" t="s">
        <v>124</v>
      </c>
      <c r="E31" s="1" t="s">
        <v>31</v>
      </c>
      <c r="F31" s="1" t="s">
        <v>32</v>
      </c>
      <c r="G31" s="1" t="s">
        <v>33</v>
      </c>
      <c r="H31" s="5">
        <v>4</v>
      </c>
      <c r="I31" s="5">
        <v>59.99</v>
      </c>
      <c r="J31" s="1" t="s">
        <v>57</v>
      </c>
      <c r="K31" s="1" t="s">
        <v>63</v>
      </c>
      <c r="L31" s="1" t="s">
        <v>36</v>
      </c>
      <c r="M31" s="4">
        <v>44867</v>
      </c>
      <c r="N31" s="19">
        <v>239.96</v>
      </c>
      <c r="O31" s="1">
        <f>MONTH(Table1[[#This Row],[Customer_Since]])</f>
        <v>11</v>
      </c>
      <c r="P31" s="1">
        <f>YEAR(Table1[[#This Row],[Customer_Since]])</f>
        <v>2022</v>
      </c>
      <c r="Q31" s="1"/>
      <c r="R31" s="1"/>
      <c r="S31" s="1"/>
      <c r="T31" s="1"/>
      <c r="U31" s="1"/>
      <c r="V31" s="1"/>
      <c r="W31" s="1"/>
      <c r="X31" s="1"/>
      <c r="Y31" s="1"/>
      <c r="Z31" s="1"/>
    </row>
    <row r="32" spans="1:26" ht="15" thickBot="1" x14ac:dyDescent="0.35">
      <c r="A32" s="18" t="s">
        <v>125</v>
      </c>
      <c r="B32" s="4">
        <v>45427</v>
      </c>
      <c r="C32" s="1" t="s">
        <v>55</v>
      </c>
      <c r="D32" s="1" t="s">
        <v>56</v>
      </c>
      <c r="E32" s="1" t="s">
        <v>126</v>
      </c>
      <c r="F32" s="1" t="s">
        <v>127</v>
      </c>
      <c r="G32" s="1" t="s">
        <v>46</v>
      </c>
      <c r="H32" s="5">
        <v>5</v>
      </c>
      <c r="I32" s="5">
        <v>199.99</v>
      </c>
      <c r="J32" s="1" t="s">
        <v>20</v>
      </c>
      <c r="K32" s="1" t="s">
        <v>35</v>
      </c>
      <c r="L32" s="1" t="s">
        <v>36</v>
      </c>
      <c r="M32" s="4">
        <v>44412</v>
      </c>
      <c r="N32" s="19">
        <v>999.95</v>
      </c>
      <c r="O32" s="1">
        <f>MONTH(Table1[[#This Row],[Customer_Since]])</f>
        <v>8</v>
      </c>
      <c r="P32" s="1">
        <f>YEAR(Table1[[#This Row],[Customer_Since]])</f>
        <v>2021</v>
      </c>
      <c r="Q32" s="1"/>
      <c r="R32" s="1"/>
      <c r="S32" s="1"/>
      <c r="T32" s="1"/>
      <c r="U32" s="1"/>
      <c r="V32" s="1"/>
      <c r="W32" s="1"/>
      <c r="X32" s="1"/>
      <c r="Y32" s="1"/>
      <c r="Z32" s="1"/>
    </row>
    <row r="33" spans="1:26" ht="15" thickBot="1" x14ac:dyDescent="0.35">
      <c r="A33" s="18" t="s">
        <v>128</v>
      </c>
      <c r="B33" s="4">
        <v>45428</v>
      </c>
      <c r="C33" s="1" t="s">
        <v>129</v>
      </c>
      <c r="D33" s="1" t="s">
        <v>130</v>
      </c>
      <c r="E33" s="1" t="s">
        <v>44</v>
      </c>
      <c r="F33" s="1" t="s">
        <v>45</v>
      </c>
      <c r="G33" s="1" t="s">
        <v>46</v>
      </c>
      <c r="H33" s="5">
        <v>2</v>
      </c>
      <c r="I33" s="5">
        <v>149.99</v>
      </c>
      <c r="J33" s="1" t="s">
        <v>26</v>
      </c>
      <c r="K33" s="1" t="s">
        <v>50</v>
      </c>
      <c r="L33" s="1" t="s">
        <v>22</v>
      </c>
      <c r="M33" s="4">
        <v>44823</v>
      </c>
      <c r="N33" s="19">
        <v>299.98</v>
      </c>
      <c r="O33" s="1">
        <f>MONTH(Table1[[#This Row],[Customer_Since]])</f>
        <v>9</v>
      </c>
      <c r="P33" s="1">
        <f>YEAR(Table1[[#This Row],[Customer_Since]])</f>
        <v>2022</v>
      </c>
      <c r="Q33" s="1"/>
      <c r="R33" s="1"/>
      <c r="S33" s="1"/>
      <c r="T33" s="1"/>
      <c r="U33" s="1"/>
      <c r="V33" s="1"/>
      <c r="W33" s="1"/>
      <c r="X33" s="1"/>
      <c r="Y33" s="1"/>
      <c r="Z33" s="1"/>
    </row>
    <row r="34" spans="1:26" ht="15" thickBot="1" x14ac:dyDescent="0.35">
      <c r="A34" s="18" t="s">
        <v>131</v>
      </c>
      <c r="B34" s="4">
        <v>45430</v>
      </c>
      <c r="C34" s="1" t="s">
        <v>132</v>
      </c>
      <c r="D34" s="1" t="s">
        <v>133</v>
      </c>
      <c r="E34" s="1" t="s">
        <v>44</v>
      </c>
      <c r="F34" s="1" t="s">
        <v>45</v>
      </c>
      <c r="G34" s="1" t="s">
        <v>46</v>
      </c>
      <c r="H34" s="5">
        <v>3</v>
      </c>
      <c r="I34" s="5">
        <v>149.99</v>
      </c>
      <c r="J34" s="1" t="s">
        <v>26</v>
      </c>
      <c r="K34" s="1" t="s">
        <v>50</v>
      </c>
      <c r="L34" s="1" t="s">
        <v>27</v>
      </c>
      <c r="M34" s="4">
        <v>45068</v>
      </c>
      <c r="N34" s="19">
        <v>449.97</v>
      </c>
      <c r="O34" s="1">
        <f>MONTH(Table1[[#This Row],[Customer_Since]])</f>
        <v>5</v>
      </c>
      <c r="P34" s="1">
        <f>YEAR(Table1[[#This Row],[Customer_Since]])</f>
        <v>2023</v>
      </c>
      <c r="Q34" s="1"/>
      <c r="R34" s="1"/>
      <c r="S34" s="1"/>
      <c r="T34" s="1"/>
      <c r="U34" s="1"/>
      <c r="V34" s="1"/>
      <c r="W34" s="1"/>
      <c r="X34" s="1"/>
      <c r="Y34" s="1"/>
      <c r="Z34" s="1"/>
    </row>
    <row r="35" spans="1:26" ht="15" thickBot="1" x14ac:dyDescent="0.35">
      <c r="A35" s="18" t="s">
        <v>134</v>
      </c>
      <c r="B35" s="4">
        <v>45432</v>
      </c>
      <c r="C35" s="1" t="s">
        <v>29</v>
      </c>
      <c r="D35" s="1" t="s">
        <v>30</v>
      </c>
      <c r="E35" s="1" t="s">
        <v>61</v>
      </c>
      <c r="F35" s="1" t="s">
        <v>62</v>
      </c>
      <c r="G35" s="1" t="s">
        <v>19</v>
      </c>
      <c r="H35" s="5">
        <v>1</v>
      </c>
      <c r="I35" s="5">
        <v>899.99</v>
      </c>
      <c r="J35" s="1" t="s">
        <v>26</v>
      </c>
      <c r="K35" s="1" t="s">
        <v>50</v>
      </c>
      <c r="L35" s="1" t="s">
        <v>27</v>
      </c>
      <c r="M35" s="4">
        <v>44578</v>
      </c>
      <c r="N35" s="19">
        <v>899.99</v>
      </c>
      <c r="O35" s="1">
        <f>MONTH(Table1[[#This Row],[Customer_Since]])</f>
        <v>1</v>
      </c>
      <c r="P35" s="1">
        <f>YEAR(Table1[[#This Row],[Customer_Since]])</f>
        <v>2022</v>
      </c>
      <c r="Q35" s="1"/>
      <c r="R35" s="1"/>
      <c r="S35" s="1"/>
      <c r="T35" s="1"/>
      <c r="U35" s="1"/>
      <c r="V35" s="1"/>
      <c r="W35" s="1"/>
      <c r="X35" s="1"/>
      <c r="Y35" s="1"/>
      <c r="Z35" s="1"/>
    </row>
    <row r="36" spans="1:26" ht="15" thickBot="1" x14ac:dyDescent="0.35">
      <c r="A36" s="18" t="s">
        <v>135</v>
      </c>
      <c r="B36" s="4">
        <v>45434</v>
      </c>
      <c r="C36" s="1" t="s">
        <v>99</v>
      </c>
      <c r="D36" s="1" t="s">
        <v>100</v>
      </c>
      <c r="E36" s="1" t="s">
        <v>105</v>
      </c>
      <c r="F36" s="1" t="s">
        <v>106</v>
      </c>
      <c r="G36" s="1" t="s">
        <v>46</v>
      </c>
      <c r="H36" s="5">
        <v>3</v>
      </c>
      <c r="I36" s="5">
        <v>299.99</v>
      </c>
      <c r="J36" s="1" t="s">
        <v>26</v>
      </c>
      <c r="K36" s="1" t="s">
        <v>63</v>
      </c>
      <c r="L36" s="1" t="s">
        <v>22</v>
      </c>
      <c r="M36" s="4">
        <v>44824</v>
      </c>
      <c r="N36" s="19">
        <v>899.97</v>
      </c>
      <c r="O36" s="1">
        <f>MONTH(Table1[[#This Row],[Customer_Since]])</f>
        <v>9</v>
      </c>
      <c r="P36" s="1">
        <f>YEAR(Table1[[#This Row],[Customer_Since]])</f>
        <v>2022</v>
      </c>
      <c r="Q36" s="1"/>
      <c r="R36" s="1"/>
      <c r="S36" s="1"/>
      <c r="T36" s="1"/>
      <c r="U36" s="1"/>
      <c r="V36" s="1"/>
      <c r="W36" s="1"/>
      <c r="X36" s="1"/>
      <c r="Y36" s="1"/>
      <c r="Z36" s="1"/>
    </row>
    <row r="37" spans="1:26" ht="15" thickBot="1" x14ac:dyDescent="0.35">
      <c r="A37" s="18" t="s">
        <v>136</v>
      </c>
      <c r="B37" s="4">
        <v>45435</v>
      </c>
      <c r="C37" s="1" t="s">
        <v>129</v>
      </c>
      <c r="D37" s="1" t="s">
        <v>130</v>
      </c>
      <c r="E37" s="1" t="s">
        <v>114</v>
      </c>
      <c r="F37" s="1" t="s">
        <v>115</v>
      </c>
      <c r="G37" s="1" t="s">
        <v>33</v>
      </c>
      <c r="H37" s="5">
        <v>3</v>
      </c>
      <c r="I37" s="5">
        <v>79.989999999999995</v>
      </c>
      <c r="J37" s="1" t="s">
        <v>20</v>
      </c>
      <c r="K37" s="1" t="s">
        <v>35</v>
      </c>
      <c r="L37" s="1" t="s">
        <v>22</v>
      </c>
      <c r="M37" s="4">
        <v>45046</v>
      </c>
      <c r="N37" s="19">
        <v>239.97</v>
      </c>
      <c r="O37" s="1">
        <f>MONTH(Table1[[#This Row],[Customer_Since]])</f>
        <v>4</v>
      </c>
      <c r="P37" s="1">
        <f>YEAR(Table1[[#This Row],[Customer_Since]])</f>
        <v>2023</v>
      </c>
      <c r="Q37" s="1"/>
      <c r="R37" s="1"/>
      <c r="S37" s="1"/>
      <c r="T37" s="1"/>
      <c r="U37" s="1"/>
      <c r="V37" s="1"/>
      <c r="W37" s="1"/>
      <c r="X37" s="1"/>
      <c r="Y37" s="1"/>
      <c r="Z37" s="1"/>
    </row>
    <row r="38" spans="1:26" ht="15" thickBot="1" x14ac:dyDescent="0.35">
      <c r="A38" s="18" t="s">
        <v>137</v>
      </c>
      <c r="B38" s="4">
        <v>45438</v>
      </c>
      <c r="C38" s="1" t="s">
        <v>138</v>
      </c>
      <c r="D38" s="1" t="s">
        <v>139</v>
      </c>
      <c r="E38" s="1" t="s">
        <v>126</v>
      </c>
      <c r="F38" s="1" t="s">
        <v>127</v>
      </c>
      <c r="G38" s="1" t="s">
        <v>46</v>
      </c>
      <c r="H38" s="5">
        <v>3</v>
      </c>
      <c r="I38" s="5">
        <v>199.99</v>
      </c>
      <c r="J38" s="1" t="s">
        <v>26</v>
      </c>
      <c r="K38" s="1" t="s">
        <v>40</v>
      </c>
      <c r="L38" s="1" t="s">
        <v>27</v>
      </c>
      <c r="M38" s="4">
        <v>45292</v>
      </c>
      <c r="N38" s="19">
        <v>599.97</v>
      </c>
      <c r="O38" s="1">
        <f>MONTH(Table1[[#This Row],[Customer_Since]])</f>
        <v>1</v>
      </c>
      <c r="P38" s="1">
        <f>YEAR(Table1[[#This Row],[Customer_Since]])</f>
        <v>2024</v>
      </c>
      <c r="Q38" s="1"/>
      <c r="R38" s="1"/>
      <c r="S38" s="1"/>
      <c r="T38" s="1"/>
      <c r="U38" s="1"/>
      <c r="V38" s="1"/>
      <c r="W38" s="1"/>
      <c r="X38" s="1"/>
      <c r="Y38" s="1"/>
      <c r="Z38" s="1"/>
    </row>
    <row r="39" spans="1:26" ht="15" thickBot="1" x14ac:dyDescent="0.35">
      <c r="A39" s="18" t="s">
        <v>140</v>
      </c>
      <c r="B39" s="4">
        <v>45440</v>
      </c>
      <c r="C39" s="1" t="s">
        <v>141</v>
      </c>
      <c r="D39" s="1" t="s">
        <v>142</v>
      </c>
      <c r="E39" s="1" t="s">
        <v>80</v>
      </c>
      <c r="F39" s="1" t="s">
        <v>81</v>
      </c>
      <c r="G39" s="1" t="s">
        <v>19</v>
      </c>
      <c r="H39" s="5">
        <v>5</v>
      </c>
      <c r="I39" s="5">
        <v>699.99</v>
      </c>
      <c r="J39" s="1" t="s">
        <v>34</v>
      </c>
      <c r="K39" s="1" t="s">
        <v>50</v>
      </c>
      <c r="L39" s="1" t="s">
        <v>36</v>
      </c>
      <c r="M39" s="4">
        <v>44407</v>
      </c>
      <c r="N39" s="19">
        <v>3499.95</v>
      </c>
      <c r="O39" s="1">
        <f>MONTH(Table1[[#This Row],[Customer_Since]])</f>
        <v>7</v>
      </c>
      <c r="P39" s="1">
        <f>YEAR(Table1[[#This Row],[Customer_Since]])</f>
        <v>2021</v>
      </c>
      <c r="Q39" s="1"/>
      <c r="R39" s="1"/>
      <c r="S39" s="1"/>
      <c r="T39" s="1"/>
      <c r="U39" s="1"/>
      <c r="V39" s="1"/>
      <c r="W39" s="1"/>
      <c r="X39" s="1"/>
      <c r="Y39" s="1"/>
      <c r="Z39" s="1"/>
    </row>
    <row r="40" spans="1:26" ht="15" thickBot="1" x14ac:dyDescent="0.35">
      <c r="A40" s="18" t="s">
        <v>143</v>
      </c>
      <c r="B40" s="4">
        <v>45441</v>
      </c>
      <c r="C40" s="1" t="s">
        <v>144</v>
      </c>
      <c r="D40" s="1" t="s">
        <v>145</v>
      </c>
      <c r="E40" s="1" t="s">
        <v>117</v>
      </c>
      <c r="F40" s="1" t="s">
        <v>118</v>
      </c>
      <c r="G40" s="1" t="s">
        <v>19</v>
      </c>
      <c r="H40" s="5">
        <v>3</v>
      </c>
      <c r="I40" s="5">
        <v>89.99</v>
      </c>
      <c r="J40" s="1" t="s">
        <v>34</v>
      </c>
      <c r="K40" s="1" t="s">
        <v>21</v>
      </c>
      <c r="L40" s="1" t="s">
        <v>27</v>
      </c>
      <c r="M40" s="4">
        <v>45120</v>
      </c>
      <c r="N40" s="19">
        <v>269.97000000000003</v>
      </c>
      <c r="O40" s="1">
        <f>MONTH(Table1[[#This Row],[Customer_Since]])</f>
        <v>7</v>
      </c>
      <c r="P40" s="1">
        <f>YEAR(Table1[[#This Row],[Customer_Since]])</f>
        <v>2023</v>
      </c>
      <c r="Q40" s="1"/>
      <c r="R40" s="1"/>
      <c r="S40" s="1"/>
      <c r="T40" s="1"/>
      <c r="U40" s="1"/>
      <c r="V40" s="1"/>
      <c r="W40" s="1"/>
      <c r="X40" s="1"/>
      <c r="Y40" s="1"/>
      <c r="Z40" s="1"/>
    </row>
    <row r="41" spans="1:26" ht="15" thickBot="1" x14ac:dyDescent="0.35">
      <c r="A41" s="18" t="s">
        <v>146</v>
      </c>
      <c r="B41" s="4">
        <v>45443</v>
      </c>
      <c r="C41" s="1" t="s">
        <v>147</v>
      </c>
      <c r="D41" s="1" t="s">
        <v>148</v>
      </c>
      <c r="E41" s="1" t="s">
        <v>114</v>
      </c>
      <c r="F41" s="1" t="s">
        <v>115</v>
      </c>
      <c r="G41" s="1" t="s">
        <v>33</v>
      </c>
      <c r="H41" s="5">
        <v>1</v>
      </c>
      <c r="I41" s="5">
        <v>79.989999999999995</v>
      </c>
      <c r="J41" s="1" t="s">
        <v>20</v>
      </c>
      <c r="K41" s="1" t="s">
        <v>40</v>
      </c>
      <c r="L41" s="1" t="s">
        <v>36</v>
      </c>
      <c r="M41" s="4">
        <v>44917</v>
      </c>
      <c r="N41" s="19">
        <v>79.989999999999995</v>
      </c>
      <c r="O41" s="1">
        <f>MONTH(Table1[[#This Row],[Customer_Since]])</f>
        <v>12</v>
      </c>
      <c r="P41" s="1">
        <f>YEAR(Table1[[#This Row],[Customer_Since]])</f>
        <v>2022</v>
      </c>
      <c r="Q41" s="1"/>
      <c r="R41" s="1"/>
      <c r="S41" s="1"/>
      <c r="T41" s="1"/>
      <c r="U41" s="1"/>
      <c r="V41" s="1"/>
      <c r="W41" s="1"/>
      <c r="X41" s="1"/>
      <c r="Y41" s="1"/>
      <c r="Z41" s="1"/>
    </row>
    <row r="42" spans="1:26" ht="15" thickBot="1" x14ac:dyDescent="0.35">
      <c r="A42" s="18" t="s">
        <v>149</v>
      </c>
      <c r="B42" s="4">
        <v>45444</v>
      </c>
      <c r="C42" s="1" t="s">
        <v>150</v>
      </c>
      <c r="D42" s="1" t="s">
        <v>151</v>
      </c>
      <c r="E42" s="1" t="s">
        <v>31</v>
      </c>
      <c r="F42" s="1" t="s">
        <v>32</v>
      </c>
      <c r="G42" s="1" t="s">
        <v>33</v>
      </c>
      <c r="H42" s="5">
        <v>2</v>
      </c>
      <c r="I42" s="5">
        <v>59.99</v>
      </c>
      <c r="J42" s="1" t="s">
        <v>20</v>
      </c>
      <c r="K42" s="1" t="s">
        <v>50</v>
      </c>
      <c r="L42" s="1" t="s">
        <v>22</v>
      </c>
      <c r="M42" s="4">
        <v>45390</v>
      </c>
      <c r="N42" s="19">
        <v>119.98</v>
      </c>
      <c r="O42" s="1">
        <f>MONTH(Table1[[#This Row],[Customer_Since]])</f>
        <v>4</v>
      </c>
      <c r="P42" s="1">
        <f>YEAR(Table1[[#This Row],[Customer_Since]])</f>
        <v>2024</v>
      </c>
      <c r="Q42" s="1"/>
      <c r="R42" s="1"/>
      <c r="S42" s="1"/>
      <c r="T42" s="1"/>
      <c r="U42" s="1"/>
      <c r="V42" s="1"/>
      <c r="W42" s="1"/>
      <c r="X42" s="1"/>
      <c r="Y42" s="1"/>
      <c r="Z42" s="1"/>
    </row>
    <row r="43" spans="1:26" ht="15" thickBot="1" x14ac:dyDescent="0.35">
      <c r="A43" s="18" t="s">
        <v>152</v>
      </c>
      <c r="B43" s="4">
        <v>45444</v>
      </c>
      <c r="C43" s="1" t="s">
        <v>55</v>
      </c>
      <c r="D43" s="1" t="s">
        <v>56</v>
      </c>
      <c r="E43" s="1" t="s">
        <v>117</v>
      </c>
      <c r="F43" s="1" t="s">
        <v>118</v>
      </c>
      <c r="G43" s="1" t="s">
        <v>19</v>
      </c>
      <c r="H43" s="5">
        <v>1</v>
      </c>
      <c r="I43" s="5">
        <v>89.99</v>
      </c>
      <c r="J43" s="1" t="s">
        <v>20</v>
      </c>
      <c r="K43" s="1" t="s">
        <v>40</v>
      </c>
      <c r="L43" s="1" t="s">
        <v>22</v>
      </c>
      <c r="M43" s="4">
        <v>45141</v>
      </c>
      <c r="N43" s="19">
        <v>89.99</v>
      </c>
      <c r="O43" s="1">
        <f>MONTH(Table1[[#This Row],[Customer_Since]])</f>
        <v>8</v>
      </c>
      <c r="P43" s="1">
        <f>YEAR(Table1[[#This Row],[Customer_Since]])</f>
        <v>2023</v>
      </c>
      <c r="Q43" s="1"/>
      <c r="R43" s="1"/>
      <c r="S43" s="1"/>
      <c r="T43" s="1"/>
      <c r="U43" s="1"/>
      <c r="V43" s="1"/>
      <c r="W43" s="1"/>
      <c r="X43" s="1"/>
      <c r="Y43" s="1"/>
      <c r="Z43" s="1"/>
    </row>
    <row r="44" spans="1:26" ht="15" thickBot="1" x14ac:dyDescent="0.35">
      <c r="A44" s="18" t="s">
        <v>153</v>
      </c>
      <c r="B44" s="4">
        <v>45446</v>
      </c>
      <c r="C44" s="1" t="s">
        <v>154</v>
      </c>
      <c r="D44" s="1" t="s">
        <v>155</v>
      </c>
      <c r="E44" s="1" t="s">
        <v>117</v>
      </c>
      <c r="F44" s="1" t="s">
        <v>118</v>
      </c>
      <c r="G44" s="1" t="s">
        <v>19</v>
      </c>
      <c r="H44" s="5">
        <v>5</v>
      </c>
      <c r="I44" s="5">
        <v>89.99</v>
      </c>
      <c r="J44" s="1" t="s">
        <v>26</v>
      </c>
      <c r="K44" s="1" t="s">
        <v>63</v>
      </c>
      <c r="L44" s="1" t="s">
        <v>36</v>
      </c>
      <c r="M44" s="4">
        <v>44587</v>
      </c>
      <c r="N44" s="19">
        <v>449.95</v>
      </c>
      <c r="O44" s="1">
        <f>MONTH(Table1[[#This Row],[Customer_Since]])</f>
        <v>1</v>
      </c>
      <c r="P44" s="1">
        <f>YEAR(Table1[[#This Row],[Customer_Since]])</f>
        <v>2022</v>
      </c>
      <c r="Q44" s="1"/>
      <c r="R44" s="1"/>
      <c r="S44" s="1"/>
      <c r="T44" s="1"/>
      <c r="U44" s="1"/>
      <c r="V44" s="1"/>
      <c r="W44" s="1"/>
      <c r="X44" s="1"/>
      <c r="Y44" s="1"/>
      <c r="Z44" s="1"/>
    </row>
    <row r="45" spans="1:26" ht="15" thickBot="1" x14ac:dyDescent="0.35">
      <c r="A45" s="18" t="s">
        <v>156</v>
      </c>
      <c r="B45" s="4">
        <v>45449</v>
      </c>
      <c r="C45" s="1" t="s">
        <v>24</v>
      </c>
      <c r="D45" s="1" t="s">
        <v>25</v>
      </c>
      <c r="E45" s="1" t="s">
        <v>17</v>
      </c>
      <c r="F45" s="1" t="s">
        <v>18</v>
      </c>
      <c r="G45" s="1" t="s">
        <v>19</v>
      </c>
      <c r="H45" s="5">
        <v>5</v>
      </c>
      <c r="I45" s="5">
        <v>249.99</v>
      </c>
      <c r="J45" s="1" t="s">
        <v>26</v>
      </c>
      <c r="K45" s="1" t="s">
        <v>63</v>
      </c>
      <c r="L45" s="1" t="s">
        <v>36</v>
      </c>
      <c r="M45" s="4">
        <v>44707</v>
      </c>
      <c r="N45" s="19">
        <v>1249.95</v>
      </c>
      <c r="O45" s="1">
        <f>MONTH(Table1[[#This Row],[Customer_Since]])</f>
        <v>5</v>
      </c>
      <c r="P45" s="1">
        <f>YEAR(Table1[[#This Row],[Customer_Since]])</f>
        <v>2022</v>
      </c>
      <c r="Q45" s="1"/>
      <c r="R45" s="1"/>
      <c r="S45" s="1"/>
      <c r="T45" s="1"/>
      <c r="U45" s="1"/>
      <c r="V45" s="1"/>
      <c r="W45" s="1"/>
      <c r="X45" s="1"/>
      <c r="Y45" s="1"/>
      <c r="Z45" s="1"/>
    </row>
    <row r="46" spans="1:26" ht="15" thickBot="1" x14ac:dyDescent="0.35">
      <c r="A46" s="18" t="s">
        <v>157</v>
      </c>
      <c r="B46" s="4">
        <v>45449</v>
      </c>
      <c r="C46" s="1" t="s">
        <v>158</v>
      </c>
      <c r="D46" s="1" t="s">
        <v>159</v>
      </c>
      <c r="E46" s="1" t="s">
        <v>117</v>
      </c>
      <c r="F46" s="1" t="s">
        <v>118</v>
      </c>
      <c r="G46" s="1" t="s">
        <v>19</v>
      </c>
      <c r="H46" s="5">
        <v>1</v>
      </c>
      <c r="I46" s="5">
        <v>89.99</v>
      </c>
      <c r="J46" s="1" t="s">
        <v>26</v>
      </c>
      <c r="K46" s="1" t="s">
        <v>35</v>
      </c>
      <c r="L46" s="1" t="s">
        <v>36</v>
      </c>
      <c r="M46" s="4">
        <v>44582</v>
      </c>
      <c r="N46" s="19">
        <v>89.99</v>
      </c>
      <c r="O46" s="1">
        <f>MONTH(Table1[[#This Row],[Customer_Since]])</f>
        <v>1</v>
      </c>
      <c r="P46" s="1">
        <f>YEAR(Table1[[#This Row],[Customer_Since]])</f>
        <v>2022</v>
      </c>
      <c r="Q46" s="1"/>
      <c r="R46" s="1"/>
      <c r="S46" s="1"/>
      <c r="T46" s="1"/>
      <c r="U46" s="1"/>
      <c r="V46" s="1"/>
      <c r="W46" s="1"/>
      <c r="X46" s="1"/>
      <c r="Y46" s="1"/>
      <c r="Z46" s="1"/>
    </row>
    <row r="47" spans="1:26" ht="15" thickBot="1" x14ac:dyDescent="0.35">
      <c r="A47" s="18" t="s">
        <v>160</v>
      </c>
      <c r="B47" s="4">
        <v>45450</v>
      </c>
      <c r="C47" s="1" t="s">
        <v>42</v>
      </c>
      <c r="D47" s="1" t="s">
        <v>43</v>
      </c>
      <c r="E47" s="1" t="s">
        <v>44</v>
      </c>
      <c r="F47" s="1" t="s">
        <v>45</v>
      </c>
      <c r="G47" s="1" t="s">
        <v>46</v>
      </c>
      <c r="H47" s="5">
        <v>2</v>
      </c>
      <c r="I47" s="5">
        <v>149.99</v>
      </c>
      <c r="J47" s="1" t="s">
        <v>20</v>
      </c>
      <c r="K47" s="1" t="s">
        <v>63</v>
      </c>
      <c r="L47" s="1" t="s">
        <v>27</v>
      </c>
      <c r="M47" s="4">
        <v>44645</v>
      </c>
      <c r="N47" s="19">
        <v>299.98</v>
      </c>
      <c r="O47" s="1">
        <f>MONTH(Table1[[#This Row],[Customer_Since]])</f>
        <v>3</v>
      </c>
      <c r="P47" s="1">
        <f>YEAR(Table1[[#This Row],[Customer_Since]])</f>
        <v>2022</v>
      </c>
      <c r="Q47" s="1"/>
      <c r="R47" s="1"/>
      <c r="S47" s="1"/>
      <c r="T47" s="1"/>
      <c r="U47" s="1"/>
      <c r="V47" s="1"/>
      <c r="W47" s="1"/>
      <c r="X47" s="1"/>
      <c r="Y47" s="1"/>
      <c r="Z47" s="1"/>
    </row>
    <row r="48" spans="1:26" ht="15" thickBot="1" x14ac:dyDescent="0.35">
      <c r="A48" s="18" t="s">
        <v>161</v>
      </c>
      <c r="B48" s="4">
        <v>45452</v>
      </c>
      <c r="C48" s="1" t="s">
        <v>162</v>
      </c>
      <c r="D48" s="1" t="s">
        <v>163</v>
      </c>
      <c r="E48" s="1" t="s">
        <v>31</v>
      </c>
      <c r="F48" s="1" t="s">
        <v>32</v>
      </c>
      <c r="G48" s="1" t="s">
        <v>33</v>
      </c>
      <c r="H48" s="5">
        <v>4</v>
      </c>
      <c r="I48" s="5">
        <v>59.99</v>
      </c>
      <c r="J48" s="1" t="s">
        <v>20</v>
      </c>
      <c r="K48" s="1" t="s">
        <v>63</v>
      </c>
      <c r="L48" s="1" t="s">
        <v>36</v>
      </c>
      <c r="M48" s="4">
        <v>44435</v>
      </c>
      <c r="N48" s="19">
        <v>239.96</v>
      </c>
      <c r="O48" s="1">
        <f>MONTH(Table1[[#This Row],[Customer_Since]])</f>
        <v>8</v>
      </c>
      <c r="P48" s="1">
        <f>YEAR(Table1[[#This Row],[Customer_Since]])</f>
        <v>2021</v>
      </c>
      <c r="Q48" s="1"/>
      <c r="R48" s="1"/>
      <c r="S48" s="1"/>
      <c r="T48" s="1"/>
      <c r="U48" s="1"/>
      <c r="V48" s="1"/>
      <c r="W48" s="1"/>
      <c r="X48" s="1"/>
      <c r="Y48" s="1"/>
      <c r="Z48" s="1"/>
    </row>
    <row r="49" spans="1:26" ht="15" thickBot="1" x14ac:dyDescent="0.35">
      <c r="A49" s="18" t="s">
        <v>164</v>
      </c>
      <c r="B49" s="4">
        <v>45456</v>
      </c>
      <c r="C49" s="1" t="s">
        <v>129</v>
      </c>
      <c r="D49" s="1" t="s">
        <v>130</v>
      </c>
      <c r="E49" s="1" t="s">
        <v>117</v>
      </c>
      <c r="F49" s="1" t="s">
        <v>118</v>
      </c>
      <c r="G49" s="1" t="s">
        <v>19</v>
      </c>
      <c r="H49" s="5">
        <v>5</v>
      </c>
      <c r="I49" s="5">
        <v>89.99</v>
      </c>
      <c r="J49" s="1" t="s">
        <v>20</v>
      </c>
      <c r="K49" s="1" t="s">
        <v>21</v>
      </c>
      <c r="L49" s="1" t="s">
        <v>27</v>
      </c>
      <c r="M49" s="4">
        <v>44579</v>
      </c>
      <c r="N49" s="19">
        <v>449.95</v>
      </c>
      <c r="O49" s="1">
        <f>MONTH(Table1[[#This Row],[Customer_Since]])</f>
        <v>1</v>
      </c>
      <c r="P49" s="1">
        <f>YEAR(Table1[[#This Row],[Customer_Since]])</f>
        <v>2022</v>
      </c>
      <c r="Q49" s="1"/>
      <c r="R49" s="1"/>
      <c r="S49" s="1"/>
      <c r="T49" s="1"/>
      <c r="U49" s="1"/>
      <c r="V49" s="1"/>
      <c r="W49" s="1"/>
      <c r="X49" s="1"/>
      <c r="Y49" s="1"/>
      <c r="Z49" s="1"/>
    </row>
    <row r="50" spans="1:26" ht="15" thickBot="1" x14ac:dyDescent="0.35">
      <c r="A50" s="18" t="s">
        <v>165</v>
      </c>
      <c r="B50" s="4">
        <v>45459</v>
      </c>
      <c r="C50" s="1" t="s">
        <v>99</v>
      </c>
      <c r="D50" s="1" t="s">
        <v>100</v>
      </c>
      <c r="E50" s="1" t="s">
        <v>117</v>
      </c>
      <c r="F50" s="1" t="s">
        <v>118</v>
      </c>
      <c r="G50" s="1" t="s">
        <v>19</v>
      </c>
      <c r="H50" s="5">
        <v>2</v>
      </c>
      <c r="I50" s="5">
        <v>89.99</v>
      </c>
      <c r="J50" s="1" t="s">
        <v>26</v>
      </c>
      <c r="K50" s="1" t="s">
        <v>35</v>
      </c>
      <c r="L50" s="1" t="s">
        <v>27</v>
      </c>
      <c r="M50" s="4">
        <v>44471</v>
      </c>
      <c r="N50" s="19">
        <v>179.98</v>
      </c>
      <c r="O50" s="1">
        <f>MONTH(Table1[[#This Row],[Customer_Since]])</f>
        <v>10</v>
      </c>
      <c r="P50" s="1">
        <f>YEAR(Table1[[#This Row],[Customer_Since]])</f>
        <v>2021</v>
      </c>
      <c r="Q50" s="1"/>
      <c r="R50" s="1"/>
      <c r="S50" s="1"/>
      <c r="T50" s="1"/>
      <c r="U50" s="1"/>
      <c r="V50" s="1"/>
      <c r="W50" s="1"/>
      <c r="X50" s="1"/>
      <c r="Y50" s="1"/>
      <c r="Z50" s="1"/>
    </row>
    <row r="51" spans="1:26" ht="15" thickBot="1" x14ac:dyDescent="0.35">
      <c r="A51" s="18" t="s">
        <v>166</v>
      </c>
      <c r="B51" s="4">
        <v>45459</v>
      </c>
      <c r="C51" s="1" t="s">
        <v>15</v>
      </c>
      <c r="D51" s="1" t="s">
        <v>16</v>
      </c>
      <c r="E51" s="1" t="s">
        <v>61</v>
      </c>
      <c r="F51" s="1" t="s">
        <v>62</v>
      </c>
      <c r="G51" s="1" t="s">
        <v>19</v>
      </c>
      <c r="H51" s="5">
        <v>5</v>
      </c>
      <c r="I51" s="5">
        <v>899.99</v>
      </c>
      <c r="J51" s="1" t="s">
        <v>26</v>
      </c>
      <c r="K51" s="1" t="s">
        <v>35</v>
      </c>
      <c r="L51" s="1" t="s">
        <v>36</v>
      </c>
      <c r="M51" s="4">
        <v>44974</v>
      </c>
      <c r="N51" s="19">
        <v>4499.95</v>
      </c>
      <c r="O51" s="1">
        <f>MONTH(Table1[[#This Row],[Customer_Since]])</f>
        <v>2</v>
      </c>
      <c r="P51" s="1">
        <f>YEAR(Table1[[#This Row],[Customer_Since]])</f>
        <v>2023</v>
      </c>
      <c r="Q51" s="1"/>
      <c r="R51" s="1"/>
      <c r="S51" s="1"/>
      <c r="T51" s="1"/>
      <c r="U51" s="1"/>
      <c r="V51" s="1"/>
      <c r="W51" s="1"/>
      <c r="X51" s="1"/>
      <c r="Y51" s="1"/>
      <c r="Z51" s="1"/>
    </row>
    <row r="52" spans="1:26" ht="15" thickBot="1" x14ac:dyDescent="0.35">
      <c r="A52" s="18" t="s">
        <v>167</v>
      </c>
      <c r="B52" s="4">
        <v>45459</v>
      </c>
      <c r="C52" s="1" t="s">
        <v>123</v>
      </c>
      <c r="D52" s="1" t="s">
        <v>124</v>
      </c>
      <c r="E52" s="1" t="s">
        <v>61</v>
      </c>
      <c r="F52" s="1" t="s">
        <v>62</v>
      </c>
      <c r="G52" s="1" t="s">
        <v>19</v>
      </c>
      <c r="H52" s="5">
        <v>5</v>
      </c>
      <c r="I52" s="5">
        <v>899.99</v>
      </c>
      <c r="J52" s="1" t="s">
        <v>34</v>
      </c>
      <c r="K52" s="1" t="s">
        <v>63</v>
      </c>
      <c r="L52" s="1" t="s">
        <v>27</v>
      </c>
      <c r="M52" s="4">
        <v>45278</v>
      </c>
      <c r="N52" s="19">
        <v>4499.95</v>
      </c>
      <c r="O52" s="1">
        <f>MONTH(Table1[[#This Row],[Customer_Since]])</f>
        <v>12</v>
      </c>
      <c r="P52" s="1">
        <f>YEAR(Table1[[#This Row],[Customer_Since]])</f>
        <v>2023</v>
      </c>
      <c r="Q52" s="1"/>
      <c r="R52" s="1"/>
      <c r="S52" s="1"/>
      <c r="T52" s="1"/>
      <c r="U52" s="1"/>
      <c r="V52" s="1"/>
      <c r="W52" s="1"/>
      <c r="X52" s="1"/>
      <c r="Y52" s="1"/>
      <c r="Z52" s="1"/>
    </row>
    <row r="53" spans="1:26" ht="15" thickBot="1" x14ac:dyDescent="0.35">
      <c r="A53" s="18" t="s">
        <v>168</v>
      </c>
      <c r="B53" s="4">
        <v>45460</v>
      </c>
      <c r="C53" s="1" t="s">
        <v>158</v>
      </c>
      <c r="D53" s="1" t="s">
        <v>159</v>
      </c>
      <c r="E53" s="1" t="s">
        <v>31</v>
      </c>
      <c r="F53" s="1" t="s">
        <v>32</v>
      </c>
      <c r="G53" s="1" t="s">
        <v>33</v>
      </c>
      <c r="H53" s="5">
        <v>1</v>
      </c>
      <c r="I53" s="5">
        <v>59.99</v>
      </c>
      <c r="J53" s="1" t="s">
        <v>57</v>
      </c>
      <c r="K53" s="1" t="s">
        <v>50</v>
      </c>
      <c r="L53" s="1" t="s">
        <v>27</v>
      </c>
      <c r="M53" s="4">
        <v>45190</v>
      </c>
      <c r="N53" s="19">
        <v>59.99</v>
      </c>
      <c r="O53" s="1">
        <f>MONTH(Table1[[#This Row],[Customer_Since]])</f>
        <v>9</v>
      </c>
      <c r="P53" s="1">
        <f>YEAR(Table1[[#This Row],[Customer_Since]])</f>
        <v>2023</v>
      </c>
      <c r="Q53" s="1"/>
      <c r="R53" s="1"/>
      <c r="S53" s="1"/>
      <c r="T53" s="1"/>
      <c r="U53" s="1"/>
      <c r="V53" s="1"/>
      <c r="W53" s="1"/>
      <c r="X53" s="1"/>
      <c r="Y53" s="1"/>
      <c r="Z53" s="1"/>
    </row>
    <row r="54" spans="1:26" ht="15" thickBot="1" x14ac:dyDescent="0.35">
      <c r="A54" s="18" t="s">
        <v>169</v>
      </c>
      <c r="B54" s="4">
        <v>45460</v>
      </c>
      <c r="C54" s="1" t="s">
        <v>141</v>
      </c>
      <c r="D54" s="1" t="s">
        <v>142</v>
      </c>
      <c r="E54" s="1" t="s">
        <v>105</v>
      </c>
      <c r="F54" s="1" t="s">
        <v>106</v>
      </c>
      <c r="G54" s="1" t="s">
        <v>46</v>
      </c>
      <c r="H54" s="5">
        <v>2</v>
      </c>
      <c r="I54" s="5">
        <v>299.99</v>
      </c>
      <c r="J54" s="1" t="s">
        <v>57</v>
      </c>
      <c r="K54" s="1" t="s">
        <v>63</v>
      </c>
      <c r="L54" s="1" t="s">
        <v>36</v>
      </c>
      <c r="M54" s="4">
        <v>45253</v>
      </c>
      <c r="N54" s="19">
        <v>599.98</v>
      </c>
      <c r="O54" s="1">
        <f>MONTH(Table1[[#This Row],[Customer_Since]])</f>
        <v>11</v>
      </c>
      <c r="P54" s="1">
        <f>YEAR(Table1[[#This Row],[Customer_Since]])</f>
        <v>2023</v>
      </c>
      <c r="Q54" s="1"/>
      <c r="R54" s="1"/>
      <c r="S54" s="1"/>
      <c r="T54" s="1"/>
      <c r="U54" s="1"/>
      <c r="V54" s="1"/>
      <c r="W54" s="1"/>
      <c r="X54" s="1"/>
      <c r="Y54" s="1"/>
      <c r="Z54" s="1"/>
    </row>
    <row r="55" spans="1:26" ht="15" thickBot="1" x14ac:dyDescent="0.35">
      <c r="A55" s="18" t="s">
        <v>170</v>
      </c>
      <c r="B55" s="4">
        <v>45468</v>
      </c>
      <c r="C55" s="1" t="s">
        <v>171</v>
      </c>
      <c r="D55" s="1" t="s">
        <v>172</v>
      </c>
      <c r="E55" s="1" t="s">
        <v>117</v>
      </c>
      <c r="F55" s="1" t="s">
        <v>118</v>
      </c>
      <c r="G55" s="1" t="s">
        <v>19</v>
      </c>
      <c r="H55" s="5">
        <v>4</v>
      </c>
      <c r="I55" s="5">
        <v>89.99</v>
      </c>
      <c r="J55" s="1" t="s">
        <v>57</v>
      </c>
      <c r="K55" s="1" t="s">
        <v>35</v>
      </c>
      <c r="L55" s="1" t="s">
        <v>22</v>
      </c>
      <c r="M55" s="4">
        <v>45281</v>
      </c>
      <c r="N55" s="19">
        <v>359.96</v>
      </c>
      <c r="O55" s="1">
        <f>MONTH(Table1[[#This Row],[Customer_Since]])</f>
        <v>12</v>
      </c>
      <c r="P55" s="1">
        <f>YEAR(Table1[[#This Row],[Customer_Since]])</f>
        <v>2023</v>
      </c>
      <c r="Q55" s="1"/>
      <c r="R55" s="1"/>
      <c r="S55" s="1"/>
      <c r="T55" s="1"/>
      <c r="U55" s="1"/>
      <c r="V55" s="1"/>
      <c r="W55" s="1"/>
      <c r="X55" s="1"/>
      <c r="Y55" s="1"/>
      <c r="Z55" s="1"/>
    </row>
    <row r="56" spans="1:26" ht="15" thickBot="1" x14ac:dyDescent="0.35">
      <c r="A56" s="18" t="s">
        <v>173</v>
      </c>
      <c r="B56" s="4">
        <v>45469</v>
      </c>
      <c r="C56" s="1" t="s">
        <v>29</v>
      </c>
      <c r="D56" s="1" t="s">
        <v>30</v>
      </c>
      <c r="E56" s="1" t="s">
        <v>114</v>
      </c>
      <c r="F56" s="1" t="s">
        <v>115</v>
      </c>
      <c r="G56" s="1" t="s">
        <v>33</v>
      </c>
      <c r="H56" s="5">
        <v>1</v>
      </c>
      <c r="I56" s="5">
        <v>79.989999999999995</v>
      </c>
      <c r="J56" s="1" t="s">
        <v>34</v>
      </c>
      <c r="K56" s="1" t="s">
        <v>21</v>
      </c>
      <c r="L56" s="1" t="s">
        <v>27</v>
      </c>
      <c r="M56" s="4">
        <v>45352</v>
      </c>
      <c r="N56" s="19">
        <v>79.989999999999995</v>
      </c>
      <c r="O56" s="1">
        <f>MONTH(Table1[[#This Row],[Customer_Since]])</f>
        <v>3</v>
      </c>
      <c r="P56" s="1">
        <f>YEAR(Table1[[#This Row],[Customer_Since]])</f>
        <v>2024</v>
      </c>
      <c r="Q56" s="1"/>
      <c r="R56" s="1"/>
      <c r="S56" s="1"/>
      <c r="T56" s="1"/>
      <c r="U56" s="1"/>
      <c r="V56" s="1"/>
      <c r="W56" s="1"/>
      <c r="X56" s="1"/>
      <c r="Y56" s="1"/>
      <c r="Z56" s="1"/>
    </row>
    <row r="57" spans="1:26" ht="15" thickBot="1" x14ac:dyDescent="0.35">
      <c r="A57" s="18" t="s">
        <v>174</v>
      </c>
      <c r="B57" s="4">
        <v>45469</v>
      </c>
      <c r="C57" s="1" t="s">
        <v>59</v>
      </c>
      <c r="D57" s="1" t="s">
        <v>60</v>
      </c>
      <c r="E57" s="1" t="s">
        <v>117</v>
      </c>
      <c r="F57" s="1" t="s">
        <v>118</v>
      </c>
      <c r="G57" s="1" t="s">
        <v>19</v>
      </c>
      <c r="H57" s="5">
        <v>2</v>
      </c>
      <c r="I57" s="5">
        <v>89.99</v>
      </c>
      <c r="J57" s="1" t="s">
        <v>20</v>
      </c>
      <c r="K57" s="1" t="s">
        <v>50</v>
      </c>
      <c r="L57" s="1" t="s">
        <v>22</v>
      </c>
      <c r="M57" s="4">
        <v>44438</v>
      </c>
      <c r="N57" s="19">
        <v>179.98</v>
      </c>
      <c r="O57" s="1">
        <f>MONTH(Table1[[#This Row],[Customer_Since]])</f>
        <v>8</v>
      </c>
      <c r="P57" s="1">
        <f>YEAR(Table1[[#This Row],[Customer_Since]])</f>
        <v>2021</v>
      </c>
      <c r="Q57" s="1"/>
      <c r="R57" s="1"/>
      <c r="S57" s="1"/>
      <c r="T57" s="1"/>
      <c r="U57" s="1"/>
      <c r="V57" s="1"/>
      <c r="W57" s="1"/>
      <c r="X57" s="1"/>
      <c r="Y57" s="1"/>
      <c r="Z57" s="1"/>
    </row>
    <row r="58" spans="1:26" ht="15" thickBot="1" x14ac:dyDescent="0.35">
      <c r="A58" s="18" t="s">
        <v>175</v>
      </c>
      <c r="B58" s="4">
        <v>45471</v>
      </c>
      <c r="C58" s="1" t="s">
        <v>38</v>
      </c>
      <c r="D58" s="1" t="s">
        <v>39</v>
      </c>
      <c r="E58" s="1" t="s">
        <v>80</v>
      </c>
      <c r="F58" s="1" t="s">
        <v>81</v>
      </c>
      <c r="G58" s="1" t="s">
        <v>19</v>
      </c>
      <c r="H58" s="5">
        <v>3</v>
      </c>
      <c r="I58" s="5">
        <v>699.99</v>
      </c>
      <c r="J58" s="1" t="s">
        <v>26</v>
      </c>
      <c r="K58" s="1" t="s">
        <v>63</v>
      </c>
      <c r="L58" s="1" t="s">
        <v>27</v>
      </c>
      <c r="M58" s="4">
        <v>45102</v>
      </c>
      <c r="N58" s="19">
        <v>2099.9699999999998</v>
      </c>
      <c r="O58" s="1">
        <f>MONTH(Table1[[#This Row],[Customer_Since]])</f>
        <v>6</v>
      </c>
      <c r="P58" s="1">
        <f>YEAR(Table1[[#This Row],[Customer_Since]])</f>
        <v>2023</v>
      </c>
      <c r="Q58" s="1"/>
      <c r="R58" s="1"/>
      <c r="S58" s="1"/>
      <c r="T58" s="1"/>
      <c r="U58" s="1"/>
      <c r="V58" s="1"/>
      <c r="W58" s="1"/>
      <c r="X58" s="1"/>
      <c r="Y58" s="1"/>
      <c r="Z58" s="1"/>
    </row>
    <row r="59" spans="1:26" ht="15" thickBot="1" x14ac:dyDescent="0.35">
      <c r="A59" s="18" t="s">
        <v>176</v>
      </c>
      <c r="B59" s="4">
        <v>45471</v>
      </c>
      <c r="C59" s="1" t="s">
        <v>99</v>
      </c>
      <c r="D59" s="1" t="s">
        <v>100</v>
      </c>
      <c r="E59" s="1" t="s">
        <v>61</v>
      </c>
      <c r="F59" s="1" t="s">
        <v>62</v>
      </c>
      <c r="G59" s="1" t="s">
        <v>19</v>
      </c>
      <c r="H59" s="5">
        <v>4</v>
      </c>
      <c r="I59" s="5">
        <v>899.99</v>
      </c>
      <c r="J59" s="1" t="s">
        <v>26</v>
      </c>
      <c r="K59" s="1" t="s">
        <v>63</v>
      </c>
      <c r="L59" s="1" t="s">
        <v>27</v>
      </c>
      <c r="M59" s="4">
        <v>44993</v>
      </c>
      <c r="N59" s="19">
        <v>3599.96</v>
      </c>
      <c r="O59" s="1">
        <f>MONTH(Table1[[#This Row],[Customer_Since]])</f>
        <v>3</v>
      </c>
      <c r="P59" s="1">
        <f>YEAR(Table1[[#This Row],[Customer_Since]])</f>
        <v>2023</v>
      </c>
      <c r="Q59" s="1"/>
      <c r="R59" s="1"/>
      <c r="S59" s="1"/>
      <c r="T59" s="1"/>
      <c r="U59" s="1"/>
      <c r="V59" s="1"/>
      <c r="W59" s="1"/>
      <c r="X59" s="1"/>
      <c r="Y59" s="1"/>
      <c r="Z59" s="1"/>
    </row>
    <row r="60" spans="1:26" ht="15" thickBot="1" x14ac:dyDescent="0.35">
      <c r="A60" s="18" t="s">
        <v>177</v>
      </c>
      <c r="B60" s="4">
        <v>45472</v>
      </c>
      <c r="C60" s="1" t="s">
        <v>120</v>
      </c>
      <c r="D60" s="1" t="s">
        <v>121</v>
      </c>
      <c r="E60" s="1" t="s">
        <v>44</v>
      </c>
      <c r="F60" s="1" t="s">
        <v>45</v>
      </c>
      <c r="G60" s="1" t="s">
        <v>46</v>
      </c>
      <c r="H60" s="5">
        <v>1</v>
      </c>
      <c r="I60" s="5">
        <v>149.99</v>
      </c>
      <c r="J60" s="1" t="s">
        <v>34</v>
      </c>
      <c r="K60" s="1" t="s">
        <v>63</v>
      </c>
      <c r="L60" s="1" t="s">
        <v>22</v>
      </c>
      <c r="M60" s="4">
        <v>44851</v>
      </c>
      <c r="N60" s="19">
        <v>149.99</v>
      </c>
      <c r="O60" s="1">
        <f>MONTH(Table1[[#This Row],[Customer_Since]])</f>
        <v>10</v>
      </c>
      <c r="P60" s="1">
        <f>YEAR(Table1[[#This Row],[Customer_Since]])</f>
        <v>2022</v>
      </c>
      <c r="Q60" s="1"/>
      <c r="R60" s="1"/>
      <c r="S60" s="1"/>
      <c r="T60" s="1"/>
      <c r="U60" s="1"/>
      <c r="V60" s="1"/>
      <c r="W60" s="1"/>
      <c r="X60" s="1"/>
      <c r="Y60" s="1"/>
      <c r="Z60" s="1"/>
    </row>
    <row r="61" spans="1:26" ht="15" thickBot="1" x14ac:dyDescent="0.35">
      <c r="A61" s="18" t="s">
        <v>178</v>
      </c>
      <c r="B61" s="4">
        <v>45474</v>
      </c>
      <c r="C61" s="1" t="s">
        <v>132</v>
      </c>
      <c r="D61" s="1" t="s">
        <v>133</v>
      </c>
      <c r="E61" s="1" t="s">
        <v>117</v>
      </c>
      <c r="F61" s="1" t="s">
        <v>118</v>
      </c>
      <c r="G61" s="1" t="s">
        <v>19</v>
      </c>
      <c r="H61" s="5">
        <v>2</v>
      </c>
      <c r="I61" s="5">
        <v>89.99</v>
      </c>
      <c r="J61" s="1" t="s">
        <v>34</v>
      </c>
      <c r="K61" s="1" t="s">
        <v>21</v>
      </c>
      <c r="L61" s="1" t="s">
        <v>27</v>
      </c>
      <c r="M61" s="4">
        <v>45275</v>
      </c>
      <c r="N61" s="19">
        <v>179.98</v>
      </c>
      <c r="O61" s="1">
        <f>MONTH(Table1[[#This Row],[Customer_Since]])</f>
        <v>12</v>
      </c>
      <c r="P61" s="1">
        <f>YEAR(Table1[[#This Row],[Customer_Since]])</f>
        <v>2023</v>
      </c>
      <c r="Q61" s="1"/>
      <c r="R61" s="1"/>
      <c r="S61" s="1"/>
      <c r="T61" s="1"/>
      <c r="U61" s="1"/>
      <c r="V61" s="1"/>
      <c r="W61" s="1"/>
      <c r="X61" s="1"/>
      <c r="Y61" s="1"/>
      <c r="Z61" s="1"/>
    </row>
    <row r="62" spans="1:26" ht="15" thickBot="1" x14ac:dyDescent="0.35">
      <c r="A62" s="18" t="s">
        <v>179</v>
      </c>
      <c r="B62" s="4">
        <v>45475</v>
      </c>
      <c r="C62" s="1" t="s">
        <v>55</v>
      </c>
      <c r="D62" s="1" t="s">
        <v>56</v>
      </c>
      <c r="E62" s="1" t="s">
        <v>117</v>
      </c>
      <c r="F62" s="1" t="s">
        <v>118</v>
      </c>
      <c r="G62" s="1" t="s">
        <v>19</v>
      </c>
      <c r="H62" s="5">
        <v>1</v>
      </c>
      <c r="I62" s="5">
        <v>89.99</v>
      </c>
      <c r="J62" s="1" t="s">
        <v>34</v>
      </c>
      <c r="K62" s="1" t="s">
        <v>50</v>
      </c>
      <c r="L62" s="1" t="s">
        <v>36</v>
      </c>
      <c r="M62" s="4">
        <v>44802</v>
      </c>
      <c r="N62" s="19">
        <v>89.99</v>
      </c>
      <c r="O62" s="1">
        <f>MONTH(Table1[[#This Row],[Customer_Since]])</f>
        <v>8</v>
      </c>
      <c r="P62" s="1">
        <f>YEAR(Table1[[#This Row],[Customer_Since]])</f>
        <v>2022</v>
      </c>
      <c r="Q62" s="1"/>
      <c r="R62" s="1"/>
      <c r="S62" s="1"/>
      <c r="T62" s="1"/>
      <c r="U62" s="1"/>
      <c r="V62" s="1"/>
      <c r="W62" s="1"/>
      <c r="X62" s="1"/>
      <c r="Y62" s="1"/>
      <c r="Z62" s="1"/>
    </row>
    <row r="63" spans="1:26" ht="15" thickBot="1" x14ac:dyDescent="0.35">
      <c r="A63" s="18" t="s">
        <v>180</v>
      </c>
      <c r="B63" s="4">
        <v>45476</v>
      </c>
      <c r="C63" s="1" t="s">
        <v>68</v>
      </c>
      <c r="D63" s="1" t="s">
        <v>69</v>
      </c>
      <c r="E63" s="1" t="s">
        <v>117</v>
      </c>
      <c r="F63" s="1" t="s">
        <v>118</v>
      </c>
      <c r="G63" s="1" t="s">
        <v>19</v>
      </c>
      <c r="H63" s="5">
        <v>1</v>
      </c>
      <c r="I63" s="5">
        <v>89.99</v>
      </c>
      <c r="J63" s="1" t="s">
        <v>20</v>
      </c>
      <c r="K63" s="1" t="s">
        <v>35</v>
      </c>
      <c r="L63" s="1" t="s">
        <v>36</v>
      </c>
      <c r="M63" s="4">
        <v>44611</v>
      </c>
      <c r="N63" s="19">
        <v>89.99</v>
      </c>
      <c r="O63" s="1">
        <f>MONTH(Table1[[#This Row],[Customer_Since]])</f>
        <v>2</v>
      </c>
      <c r="P63" s="1">
        <f>YEAR(Table1[[#This Row],[Customer_Since]])</f>
        <v>2022</v>
      </c>
      <c r="Q63" s="1"/>
      <c r="R63" s="1"/>
      <c r="S63" s="1"/>
      <c r="T63" s="1"/>
      <c r="U63" s="1"/>
      <c r="V63" s="1"/>
      <c r="W63" s="1"/>
      <c r="X63" s="1"/>
      <c r="Y63" s="1"/>
      <c r="Z63" s="1"/>
    </row>
    <row r="64" spans="1:26" ht="15" thickBot="1" x14ac:dyDescent="0.35">
      <c r="A64" s="18" t="s">
        <v>181</v>
      </c>
      <c r="B64" s="4">
        <v>45476</v>
      </c>
      <c r="C64" s="1" t="s">
        <v>182</v>
      </c>
      <c r="D64" s="1" t="s">
        <v>183</v>
      </c>
      <c r="E64" s="1" t="s">
        <v>114</v>
      </c>
      <c r="F64" s="1" t="s">
        <v>115</v>
      </c>
      <c r="G64" s="1" t="s">
        <v>33</v>
      </c>
      <c r="H64" s="5">
        <v>5</v>
      </c>
      <c r="I64" s="5">
        <v>79.989999999999995</v>
      </c>
      <c r="J64" s="1" t="s">
        <v>57</v>
      </c>
      <c r="K64" s="1" t="s">
        <v>21</v>
      </c>
      <c r="L64" s="1" t="s">
        <v>22</v>
      </c>
      <c r="M64" s="4">
        <v>44981</v>
      </c>
      <c r="N64" s="19">
        <v>399.95</v>
      </c>
      <c r="O64" s="1">
        <f>MONTH(Table1[[#This Row],[Customer_Since]])</f>
        <v>2</v>
      </c>
      <c r="P64" s="1">
        <f>YEAR(Table1[[#This Row],[Customer_Since]])</f>
        <v>2023</v>
      </c>
      <c r="Q64" s="1"/>
      <c r="R64" s="1"/>
      <c r="S64" s="1"/>
      <c r="T64" s="1"/>
      <c r="U64" s="1"/>
      <c r="V64" s="1"/>
      <c r="W64" s="1"/>
      <c r="X64" s="1"/>
      <c r="Y64" s="1"/>
      <c r="Z64" s="1"/>
    </row>
    <row r="65" spans="1:26" ht="15" thickBot="1" x14ac:dyDescent="0.35">
      <c r="A65" s="18" t="s">
        <v>184</v>
      </c>
      <c r="B65" s="4">
        <v>45481</v>
      </c>
      <c r="C65" s="1" t="s">
        <v>185</v>
      </c>
      <c r="D65" s="1" t="s">
        <v>186</v>
      </c>
      <c r="E65" s="1" t="s">
        <v>44</v>
      </c>
      <c r="F65" s="1" t="s">
        <v>45</v>
      </c>
      <c r="G65" s="1" t="s">
        <v>46</v>
      </c>
      <c r="H65" s="5">
        <v>1</v>
      </c>
      <c r="I65" s="5">
        <v>149.99</v>
      </c>
      <c r="J65" s="1" t="s">
        <v>34</v>
      </c>
      <c r="K65" s="1" t="s">
        <v>40</v>
      </c>
      <c r="L65" s="1" t="s">
        <v>22</v>
      </c>
      <c r="M65" s="4">
        <v>44421</v>
      </c>
      <c r="N65" s="19">
        <v>149.99</v>
      </c>
      <c r="O65" s="1">
        <f>MONTH(Table1[[#This Row],[Customer_Since]])</f>
        <v>8</v>
      </c>
      <c r="P65" s="1">
        <f>YEAR(Table1[[#This Row],[Customer_Since]])</f>
        <v>2021</v>
      </c>
      <c r="Q65" s="1"/>
      <c r="R65" s="1"/>
      <c r="S65" s="1"/>
      <c r="T65" s="1"/>
      <c r="U65" s="1"/>
      <c r="V65" s="1"/>
      <c r="W65" s="1"/>
      <c r="X65" s="1"/>
      <c r="Y65" s="1"/>
      <c r="Z65" s="1"/>
    </row>
    <row r="66" spans="1:26" ht="15" thickBot="1" x14ac:dyDescent="0.35">
      <c r="A66" s="18" t="s">
        <v>187</v>
      </c>
      <c r="B66" s="4">
        <v>45481</v>
      </c>
      <c r="C66" s="1" t="s">
        <v>42</v>
      </c>
      <c r="D66" s="1" t="s">
        <v>43</v>
      </c>
      <c r="E66" s="1" t="s">
        <v>80</v>
      </c>
      <c r="F66" s="1" t="s">
        <v>81</v>
      </c>
      <c r="G66" s="1" t="s">
        <v>19</v>
      </c>
      <c r="H66" s="5">
        <v>2</v>
      </c>
      <c r="I66" s="5">
        <v>699.99</v>
      </c>
      <c r="J66" s="1" t="s">
        <v>34</v>
      </c>
      <c r="K66" s="1" t="s">
        <v>63</v>
      </c>
      <c r="L66" s="1" t="s">
        <v>27</v>
      </c>
      <c r="M66" s="4">
        <v>45389</v>
      </c>
      <c r="N66" s="19">
        <v>1399.98</v>
      </c>
      <c r="O66" s="1">
        <f>MONTH(Table1[[#This Row],[Customer_Since]])</f>
        <v>4</v>
      </c>
      <c r="P66" s="1">
        <f>YEAR(Table1[[#This Row],[Customer_Since]])</f>
        <v>2024</v>
      </c>
      <c r="Q66" s="1"/>
      <c r="R66" s="1"/>
      <c r="S66" s="1"/>
      <c r="T66" s="1"/>
      <c r="U66" s="1"/>
      <c r="V66" s="1"/>
      <c r="W66" s="1"/>
      <c r="X66" s="1"/>
      <c r="Y66" s="1"/>
      <c r="Z66" s="1"/>
    </row>
    <row r="67" spans="1:26" ht="15" thickBot="1" x14ac:dyDescent="0.35">
      <c r="A67" s="18" t="s">
        <v>188</v>
      </c>
      <c r="B67" s="4">
        <v>45481</v>
      </c>
      <c r="C67" s="1" t="s">
        <v>96</v>
      </c>
      <c r="D67" s="1" t="s">
        <v>97</v>
      </c>
      <c r="E67" s="1" t="s">
        <v>117</v>
      </c>
      <c r="F67" s="1" t="s">
        <v>118</v>
      </c>
      <c r="G67" s="1" t="s">
        <v>19</v>
      </c>
      <c r="H67" s="5">
        <v>5</v>
      </c>
      <c r="I67" s="5">
        <v>89.99</v>
      </c>
      <c r="J67" s="1" t="s">
        <v>57</v>
      </c>
      <c r="K67" s="1" t="s">
        <v>40</v>
      </c>
      <c r="L67" s="1" t="s">
        <v>27</v>
      </c>
      <c r="M67" s="4">
        <v>45161</v>
      </c>
      <c r="N67" s="19">
        <v>449.95</v>
      </c>
      <c r="O67" s="1">
        <f>MONTH(Table1[[#This Row],[Customer_Since]])</f>
        <v>8</v>
      </c>
      <c r="P67" s="1">
        <f>YEAR(Table1[[#This Row],[Customer_Since]])</f>
        <v>2023</v>
      </c>
      <c r="Q67" s="1"/>
      <c r="R67" s="1"/>
      <c r="S67" s="1"/>
      <c r="T67" s="1"/>
      <c r="U67" s="1"/>
      <c r="V67" s="1"/>
      <c r="W67" s="1"/>
      <c r="X67" s="1"/>
      <c r="Y67" s="1"/>
      <c r="Z67" s="1"/>
    </row>
    <row r="68" spans="1:26" ht="15" thickBot="1" x14ac:dyDescent="0.35">
      <c r="A68" s="18" t="s">
        <v>189</v>
      </c>
      <c r="B68" s="4">
        <v>45482</v>
      </c>
      <c r="C68" s="1" t="s">
        <v>171</v>
      </c>
      <c r="D68" s="1" t="s">
        <v>172</v>
      </c>
      <c r="E68" s="1" t="s">
        <v>31</v>
      </c>
      <c r="F68" s="1" t="s">
        <v>32</v>
      </c>
      <c r="G68" s="1" t="s">
        <v>33</v>
      </c>
      <c r="H68" s="5">
        <v>4</v>
      </c>
      <c r="I68" s="5">
        <v>59.99</v>
      </c>
      <c r="J68" s="1" t="s">
        <v>20</v>
      </c>
      <c r="K68" s="1" t="s">
        <v>35</v>
      </c>
      <c r="L68" s="1" t="s">
        <v>36</v>
      </c>
      <c r="M68" s="4">
        <v>44509</v>
      </c>
      <c r="N68" s="19">
        <v>239.96</v>
      </c>
      <c r="O68" s="1">
        <f>MONTH(Table1[[#This Row],[Customer_Since]])</f>
        <v>11</v>
      </c>
      <c r="P68" s="1">
        <f>YEAR(Table1[[#This Row],[Customer_Since]])</f>
        <v>2021</v>
      </c>
      <c r="Q68" s="1"/>
      <c r="R68" s="1"/>
      <c r="S68" s="1"/>
      <c r="T68" s="1"/>
      <c r="U68" s="1"/>
      <c r="V68" s="1"/>
      <c r="W68" s="1"/>
      <c r="X68" s="1"/>
      <c r="Y68" s="1"/>
      <c r="Z68" s="1"/>
    </row>
    <row r="69" spans="1:26" ht="15" thickBot="1" x14ac:dyDescent="0.35">
      <c r="A69" s="18" t="s">
        <v>190</v>
      </c>
      <c r="B69" s="4">
        <v>45484</v>
      </c>
      <c r="C69" s="1" t="s">
        <v>24</v>
      </c>
      <c r="D69" s="1" t="s">
        <v>25</v>
      </c>
      <c r="E69" s="1" t="s">
        <v>52</v>
      </c>
      <c r="F69" s="1" t="s">
        <v>53</v>
      </c>
      <c r="G69" s="1" t="s">
        <v>19</v>
      </c>
      <c r="H69" s="5">
        <v>1</v>
      </c>
      <c r="I69" s="5">
        <v>149.99</v>
      </c>
      <c r="J69" s="1" t="s">
        <v>20</v>
      </c>
      <c r="K69" s="1" t="s">
        <v>21</v>
      </c>
      <c r="L69" s="1" t="s">
        <v>36</v>
      </c>
      <c r="M69" s="4">
        <v>44909</v>
      </c>
      <c r="N69" s="19">
        <v>149.99</v>
      </c>
      <c r="O69" s="1">
        <f>MONTH(Table1[[#This Row],[Customer_Since]])</f>
        <v>12</v>
      </c>
      <c r="P69" s="1">
        <f>YEAR(Table1[[#This Row],[Customer_Since]])</f>
        <v>2022</v>
      </c>
      <c r="Q69" s="1"/>
      <c r="R69" s="1"/>
      <c r="S69" s="1"/>
      <c r="T69" s="1"/>
      <c r="U69" s="1"/>
      <c r="V69" s="1"/>
      <c r="W69" s="1"/>
      <c r="X69" s="1"/>
      <c r="Y69" s="1"/>
      <c r="Z69" s="1"/>
    </row>
    <row r="70" spans="1:26" ht="15" thickBot="1" x14ac:dyDescent="0.35">
      <c r="A70" s="18" t="s">
        <v>191</v>
      </c>
      <c r="B70" s="4">
        <v>45484</v>
      </c>
      <c r="C70" s="1" t="s">
        <v>192</v>
      </c>
      <c r="D70" s="1" t="s">
        <v>193</v>
      </c>
      <c r="E70" s="1" t="s">
        <v>105</v>
      </c>
      <c r="F70" s="1" t="s">
        <v>106</v>
      </c>
      <c r="G70" s="1" t="s">
        <v>46</v>
      </c>
      <c r="H70" s="5">
        <v>1</v>
      </c>
      <c r="I70" s="5">
        <v>299.99</v>
      </c>
      <c r="J70" s="1" t="s">
        <v>26</v>
      </c>
      <c r="K70" s="1" t="s">
        <v>40</v>
      </c>
      <c r="L70" s="1" t="s">
        <v>27</v>
      </c>
      <c r="M70" s="4">
        <v>44891</v>
      </c>
      <c r="N70" s="19">
        <v>299.99</v>
      </c>
      <c r="O70" s="1">
        <f>MONTH(Table1[[#This Row],[Customer_Since]])</f>
        <v>11</v>
      </c>
      <c r="P70" s="1">
        <f>YEAR(Table1[[#This Row],[Customer_Since]])</f>
        <v>2022</v>
      </c>
      <c r="Q70" s="1"/>
      <c r="R70" s="1"/>
      <c r="S70" s="1"/>
      <c r="T70" s="1"/>
      <c r="U70" s="1"/>
      <c r="V70" s="1"/>
      <c r="W70" s="1"/>
      <c r="X70" s="1"/>
      <c r="Y70" s="1"/>
      <c r="Z70" s="1"/>
    </row>
    <row r="71" spans="1:26" ht="15" thickBot="1" x14ac:dyDescent="0.35">
      <c r="A71" s="18" t="s">
        <v>194</v>
      </c>
      <c r="B71" s="4">
        <v>45487</v>
      </c>
      <c r="C71" s="1" t="s">
        <v>192</v>
      </c>
      <c r="D71" s="1" t="s">
        <v>193</v>
      </c>
      <c r="E71" s="1" t="s">
        <v>126</v>
      </c>
      <c r="F71" s="1" t="s">
        <v>127</v>
      </c>
      <c r="G71" s="1" t="s">
        <v>46</v>
      </c>
      <c r="H71" s="5">
        <v>2</v>
      </c>
      <c r="I71" s="5">
        <v>199.99</v>
      </c>
      <c r="J71" s="1" t="s">
        <v>20</v>
      </c>
      <c r="K71" s="1" t="s">
        <v>40</v>
      </c>
      <c r="L71" s="1" t="s">
        <v>22</v>
      </c>
      <c r="M71" s="4">
        <v>44541</v>
      </c>
      <c r="N71" s="19">
        <v>399.98</v>
      </c>
      <c r="O71" s="1">
        <f>MONTH(Table1[[#This Row],[Customer_Since]])</f>
        <v>12</v>
      </c>
      <c r="P71" s="1">
        <f>YEAR(Table1[[#This Row],[Customer_Since]])</f>
        <v>2021</v>
      </c>
      <c r="Q71" s="1"/>
      <c r="R71" s="1"/>
      <c r="S71" s="1"/>
      <c r="T71" s="1"/>
      <c r="U71" s="1"/>
      <c r="V71" s="1"/>
      <c r="W71" s="1"/>
      <c r="X71" s="1"/>
      <c r="Y71" s="1"/>
      <c r="Z71" s="1"/>
    </row>
    <row r="72" spans="1:26" ht="15" thickBot="1" x14ac:dyDescent="0.35">
      <c r="A72" s="18" t="s">
        <v>195</v>
      </c>
      <c r="B72" s="4">
        <v>45490</v>
      </c>
      <c r="C72" s="1" t="s">
        <v>196</v>
      </c>
      <c r="D72" s="1" t="s">
        <v>197</v>
      </c>
      <c r="E72" s="1" t="s">
        <v>31</v>
      </c>
      <c r="F72" s="1" t="s">
        <v>32</v>
      </c>
      <c r="G72" s="1" t="s">
        <v>33</v>
      </c>
      <c r="H72" s="5">
        <v>3</v>
      </c>
      <c r="I72" s="5">
        <v>59.99</v>
      </c>
      <c r="J72" s="1" t="s">
        <v>26</v>
      </c>
      <c r="K72" s="1" t="s">
        <v>50</v>
      </c>
      <c r="L72" s="1" t="s">
        <v>22</v>
      </c>
      <c r="M72" s="4">
        <v>45130</v>
      </c>
      <c r="N72" s="19">
        <v>179.97</v>
      </c>
      <c r="O72" s="1">
        <f>MONTH(Table1[[#This Row],[Customer_Since]])</f>
        <v>7</v>
      </c>
      <c r="P72" s="1">
        <f>YEAR(Table1[[#This Row],[Customer_Since]])</f>
        <v>2023</v>
      </c>
      <c r="Q72" s="1"/>
      <c r="R72" s="1"/>
      <c r="S72" s="1"/>
      <c r="T72" s="1"/>
      <c r="U72" s="1"/>
      <c r="V72" s="1"/>
      <c r="W72" s="1"/>
      <c r="X72" s="1"/>
      <c r="Y72" s="1"/>
      <c r="Z72" s="1"/>
    </row>
    <row r="73" spans="1:26" ht="15" thickBot="1" x14ac:dyDescent="0.35">
      <c r="A73" s="18" t="s">
        <v>198</v>
      </c>
      <c r="B73" s="4">
        <v>45490</v>
      </c>
      <c r="C73" s="1" t="s">
        <v>72</v>
      </c>
      <c r="D73" s="1" t="s">
        <v>73</v>
      </c>
      <c r="E73" s="1" t="s">
        <v>44</v>
      </c>
      <c r="F73" s="1" t="s">
        <v>45</v>
      </c>
      <c r="G73" s="1" t="s">
        <v>46</v>
      </c>
      <c r="H73" s="5">
        <v>3</v>
      </c>
      <c r="I73" s="5">
        <v>149.99</v>
      </c>
      <c r="J73" s="1" t="s">
        <v>20</v>
      </c>
      <c r="K73" s="1" t="s">
        <v>21</v>
      </c>
      <c r="L73" s="1" t="s">
        <v>27</v>
      </c>
      <c r="M73" s="4">
        <v>45199</v>
      </c>
      <c r="N73" s="19">
        <v>449.97</v>
      </c>
      <c r="O73" s="1">
        <f>MONTH(Table1[[#This Row],[Customer_Since]])</f>
        <v>9</v>
      </c>
      <c r="P73" s="1">
        <f>YEAR(Table1[[#This Row],[Customer_Since]])</f>
        <v>2023</v>
      </c>
      <c r="Q73" s="1"/>
      <c r="R73" s="1"/>
      <c r="S73" s="1"/>
      <c r="T73" s="1"/>
      <c r="U73" s="1"/>
      <c r="V73" s="1"/>
      <c r="W73" s="1"/>
      <c r="X73" s="1"/>
      <c r="Y73" s="1"/>
      <c r="Z73" s="1"/>
    </row>
    <row r="74" spans="1:26" ht="15" thickBot="1" x14ac:dyDescent="0.35">
      <c r="A74" s="18" t="s">
        <v>199</v>
      </c>
      <c r="B74" s="4">
        <v>45491</v>
      </c>
      <c r="C74" s="1" t="s">
        <v>65</v>
      </c>
      <c r="D74" s="1" t="s">
        <v>66</v>
      </c>
      <c r="E74" s="1" t="s">
        <v>126</v>
      </c>
      <c r="F74" s="1" t="s">
        <v>127</v>
      </c>
      <c r="G74" s="1" t="s">
        <v>46</v>
      </c>
      <c r="H74" s="5">
        <v>3</v>
      </c>
      <c r="I74" s="5">
        <v>199.99</v>
      </c>
      <c r="J74" s="1" t="s">
        <v>20</v>
      </c>
      <c r="K74" s="1" t="s">
        <v>40</v>
      </c>
      <c r="L74" s="1" t="s">
        <v>27</v>
      </c>
      <c r="M74" s="4">
        <v>45254</v>
      </c>
      <c r="N74" s="19">
        <v>599.97</v>
      </c>
      <c r="O74" s="1">
        <f>MONTH(Table1[[#This Row],[Customer_Since]])</f>
        <v>11</v>
      </c>
      <c r="P74" s="1">
        <f>YEAR(Table1[[#This Row],[Customer_Since]])</f>
        <v>2023</v>
      </c>
      <c r="Q74" s="1"/>
      <c r="R74" s="1"/>
      <c r="S74" s="1"/>
      <c r="T74" s="1"/>
      <c r="U74" s="1"/>
      <c r="V74" s="1"/>
      <c r="W74" s="1"/>
      <c r="X74" s="1"/>
      <c r="Y74" s="1"/>
      <c r="Z74" s="1"/>
    </row>
    <row r="75" spans="1:26" ht="15" thickBot="1" x14ac:dyDescent="0.35">
      <c r="A75" s="18" t="s">
        <v>200</v>
      </c>
      <c r="B75" s="4">
        <v>45496</v>
      </c>
      <c r="C75" s="1" t="s">
        <v>150</v>
      </c>
      <c r="D75" s="1" t="s">
        <v>151</v>
      </c>
      <c r="E75" s="1" t="s">
        <v>61</v>
      </c>
      <c r="F75" s="1" t="s">
        <v>62</v>
      </c>
      <c r="G75" s="1" t="s">
        <v>19</v>
      </c>
      <c r="H75" s="5">
        <v>1</v>
      </c>
      <c r="I75" s="5">
        <v>899.99</v>
      </c>
      <c r="J75" s="1" t="s">
        <v>20</v>
      </c>
      <c r="K75" s="1" t="s">
        <v>21</v>
      </c>
      <c r="L75" s="1" t="s">
        <v>36</v>
      </c>
      <c r="M75" s="4">
        <v>45179</v>
      </c>
      <c r="N75" s="19">
        <v>899.99</v>
      </c>
      <c r="O75" s="1">
        <f>MONTH(Table1[[#This Row],[Customer_Since]])</f>
        <v>9</v>
      </c>
      <c r="P75" s="1">
        <f>YEAR(Table1[[#This Row],[Customer_Since]])</f>
        <v>2023</v>
      </c>
      <c r="Q75" s="1"/>
      <c r="R75" s="1"/>
      <c r="S75" s="1"/>
      <c r="T75" s="1"/>
      <c r="U75" s="1"/>
      <c r="V75" s="1"/>
      <c r="W75" s="1"/>
      <c r="X75" s="1"/>
      <c r="Y75" s="1"/>
      <c r="Z75" s="1"/>
    </row>
    <row r="76" spans="1:26" ht="15" thickBot="1" x14ac:dyDescent="0.35">
      <c r="A76" s="18" t="s">
        <v>201</v>
      </c>
      <c r="B76" s="4">
        <v>45497</v>
      </c>
      <c r="C76" s="1" t="s">
        <v>24</v>
      </c>
      <c r="D76" s="1" t="s">
        <v>25</v>
      </c>
      <c r="E76" s="1" t="s">
        <v>61</v>
      </c>
      <c r="F76" s="1" t="s">
        <v>62</v>
      </c>
      <c r="G76" s="1" t="s">
        <v>19</v>
      </c>
      <c r="H76" s="5">
        <v>5</v>
      </c>
      <c r="I76" s="5">
        <v>899.99</v>
      </c>
      <c r="J76" s="1" t="s">
        <v>57</v>
      </c>
      <c r="K76" s="1" t="s">
        <v>35</v>
      </c>
      <c r="L76" s="1" t="s">
        <v>36</v>
      </c>
      <c r="M76" s="4">
        <v>44899</v>
      </c>
      <c r="N76" s="19">
        <v>4499.95</v>
      </c>
      <c r="O76" s="1">
        <f>MONTH(Table1[[#This Row],[Customer_Since]])</f>
        <v>12</v>
      </c>
      <c r="P76" s="1">
        <f>YEAR(Table1[[#This Row],[Customer_Since]])</f>
        <v>2022</v>
      </c>
      <c r="Q76" s="1"/>
      <c r="R76" s="1"/>
      <c r="S76" s="1"/>
      <c r="T76" s="1"/>
      <c r="U76" s="1"/>
      <c r="V76" s="1"/>
      <c r="W76" s="1"/>
      <c r="X76" s="1"/>
      <c r="Y76" s="1"/>
      <c r="Z76" s="1"/>
    </row>
    <row r="77" spans="1:26" ht="15" thickBot="1" x14ac:dyDescent="0.35">
      <c r="A77" s="18" t="s">
        <v>202</v>
      </c>
      <c r="B77" s="4">
        <v>45498</v>
      </c>
      <c r="C77" s="1" t="s">
        <v>182</v>
      </c>
      <c r="D77" s="1" t="s">
        <v>183</v>
      </c>
      <c r="E77" s="1" t="s">
        <v>31</v>
      </c>
      <c r="F77" s="1" t="s">
        <v>32</v>
      </c>
      <c r="G77" s="1" t="s">
        <v>33</v>
      </c>
      <c r="H77" s="5">
        <v>2</v>
      </c>
      <c r="I77" s="5">
        <v>59.99</v>
      </c>
      <c r="J77" s="1" t="s">
        <v>20</v>
      </c>
      <c r="K77" s="1" t="s">
        <v>40</v>
      </c>
      <c r="L77" s="1" t="s">
        <v>36</v>
      </c>
      <c r="M77" s="4">
        <v>45152</v>
      </c>
      <c r="N77" s="19">
        <v>119.98</v>
      </c>
      <c r="O77" s="1">
        <f>MONTH(Table1[[#This Row],[Customer_Since]])</f>
        <v>8</v>
      </c>
      <c r="P77" s="1">
        <f>YEAR(Table1[[#This Row],[Customer_Since]])</f>
        <v>2023</v>
      </c>
      <c r="Q77" s="1"/>
      <c r="R77" s="1"/>
      <c r="S77" s="1"/>
      <c r="T77" s="1"/>
      <c r="U77" s="1"/>
      <c r="V77" s="1"/>
      <c r="W77" s="1"/>
      <c r="X77" s="1"/>
      <c r="Y77" s="1"/>
      <c r="Z77" s="1"/>
    </row>
    <row r="78" spans="1:26" ht="15" thickBot="1" x14ac:dyDescent="0.35">
      <c r="A78" s="18" t="s">
        <v>203</v>
      </c>
      <c r="B78" s="4">
        <v>45498</v>
      </c>
      <c r="C78" s="1" t="s">
        <v>196</v>
      </c>
      <c r="D78" s="1" t="s">
        <v>197</v>
      </c>
      <c r="E78" s="1" t="s">
        <v>17</v>
      </c>
      <c r="F78" s="1" t="s">
        <v>18</v>
      </c>
      <c r="G78" s="1" t="s">
        <v>19</v>
      </c>
      <c r="H78" s="5">
        <v>4</v>
      </c>
      <c r="I78" s="5">
        <v>249.99</v>
      </c>
      <c r="J78" s="1" t="s">
        <v>57</v>
      </c>
      <c r="K78" s="1" t="s">
        <v>21</v>
      </c>
      <c r="L78" s="1" t="s">
        <v>36</v>
      </c>
      <c r="M78" s="4">
        <v>45127</v>
      </c>
      <c r="N78" s="19">
        <v>999.96</v>
      </c>
      <c r="O78" s="1">
        <f>MONTH(Table1[[#This Row],[Customer_Since]])</f>
        <v>7</v>
      </c>
      <c r="P78" s="1">
        <f>YEAR(Table1[[#This Row],[Customer_Since]])</f>
        <v>2023</v>
      </c>
      <c r="Q78" s="1"/>
      <c r="R78" s="1"/>
      <c r="S78" s="1"/>
      <c r="T78" s="1"/>
      <c r="U78" s="1"/>
      <c r="V78" s="1"/>
      <c r="W78" s="1"/>
      <c r="X78" s="1"/>
      <c r="Y78" s="1"/>
      <c r="Z78" s="1"/>
    </row>
    <row r="79" spans="1:26" ht="15" thickBot="1" x14ac:dyDescent="0.35">
      <c r="A79" s="18" t="s">
        <v>204</v>
      </c>
      <c r="B79" s="4">
        <v>45500</v>
      </c>
      <c r="C79" s="1" t="s">
        <v>96</v>
      </c>
      <c r="D79" s="1" t="s">
        <v>97</v>
      </c>
      <c r="E79" s="1" t="s">
        <v>17</v>
      </c>
      <c r="F79" s="1" t="s">
        <v>18</v>
      </c>
      <c r="G79" s="1" t="s">
        <v>19</v>
      </c>
      <c r="H79" s="5">
        <v>2</v>
      </c>
      <c r="I79" s="5">
        <v>249.99</v>
      </c>
      <c r="J79" s="1" t="s">
        <v>20</v>
      </c>
      <c r="K79" s="1" t="s">
        <v>40</v>
      </c>
      <c r="L79" s="1" t="s">
        <v>27</v>
      </c>
      <c r="M79" s="4">
        <v>45164</v>
      </c>
      <c r="N79" s="19">
        <v>499.98</v>
      </c>
      <c r="O79" s="1">
        <f>MONTH(Table1[[#This Row],[Customer_Since]])</f>
        <v>8</v>
      </c>
      <c r="P79" s="1">
        <f>YEAR(Table1[[#This Row],[Customer_Since]])</f>
        <v>2023</v>
      </c>
      <c r="Q79" s="1"/>
      <c r="R79" s="1"/>
      <c r="S79" s="1"/>
      <c r="T79" s="1"/>
      <c r="U79" s="1"/>
      <c r="V79" s="1"/>
      <c r="W79" s="1"/>
      <c r="X79" s="1"/>
      <c r="Y79" s="1"/>
      <c r="Z79" s="1"/>
    </row>
    <row r="80" spans="1:26" ht="15" thickBot="1" x14ac:dyDescent="0.35">
      <c r="A80" s="18" t="s">
        <v>205</v>
      </c>
      <c r="B80" s="4">
        <v>45500</v>
      </c>
      <c r="C80" s="1" t="s">
        <v>147</v>
      </c>
      <c r="D80" s="1" t="s">
        <v>148</v>
      </c>
      <c r="E80" s="1" t="s">
        <v>105</v>
      </c>
      <c r="F80" s="1" t="s">
        <v>106</v>
      </c>
      <c r="G80" s="1" t="s">
        <v>46</v>
      </c>
      <c r="H80" s="5">
        <v>1</v>
      </c>
      <c r="I80" s="5">
        <v>299.99</v>
      </c>
      <c r="J80" s="1" t="s">
        <v>20</v>
      </c>
      <c r="K80" s="1" t="s">
        <v>35</v>
      </c>
      <c r="L80" s="1" t="s">
        <v>22</v>
      </c>
      <c r="M80" s="4">
        <v>44982</v>
      </c>
      <c r="N80" s="19">
        <v>299.99</v>
      </c>
      <c r="O80" s="1">
        <f>MONTH(Table1[[#This Row],[Customer_Since]])</f>
        <v>2</v>
      </c>
      <c r="P80" s="1">
        <f>YEAR(Table1[[#This Row],[Customer_Since]])</f>
        <v>2023</v>
      </c>
      <c r="Q80" s="1"/>
      <c r="R80" s="1"/>
      <c r="S80" s="1"/>
      <c r="T80" s="1"/>
      <c r="U80" s="1"/>
      <c r="V80" s="1"/>
      <c r="W80" s="1"/>
      <c r="X80" s="1"/>
      <c r="Y80" s="1"/>
      <c r="Z80" s="1"/>
    </row>
    <row r="81" spans="1:26" ht="15" thickBot="1" x14ac:dyDescent="0.35">
      <c r="A81" s="18" t="s">
        <v>206</v>
      </c>
      <c r="B81" s="4">
        <v>45501</v>
      </c>
      <c r="C81" s="1" t="s">
        <v>86</v>
      </c>
      <c r="D81" s="1" t="s">
        <v>87</v>
      </c>
      <c r="E81" s="1" t="s">
        <v>117</v>
      </c>
      <c r="F81" s="1" t="s">
        <v>118</v>
      </c>
      <c r="G81" s="1" t="s">
        <v>19</v>
      </c>
      <c r="H81" s="5">
        <v>2</v>
      </c>
      <c r="I81" s="5">
        <v>89.99</v>
      </c>
      <c r="J81" s="1" t="s">
        <v>34</v>
      </c>
      <c r="K81" s="1" t="s">
        <v>35</v>
      </c>
      <c r="L81" s="1" t="s">
        <v>22</v>
      </c>
      <c r="M81" s="4">
        <v>44976</v>
      </c>
      <c r="N81" s="19">
        <v>179.98</v>
      </c>
      <c r="O81" s="1">
        <f>MONTH(Table1[[#This Row],[Customer_Since]])</f>
        <v>2</v>
      </c>
      <c r="P81" s="1">
        <f>YEAR(Table1[[#This Row],[Customer_Since]])</f>
        <v>2023</v>
      </c>
      <c r="Q81" s="1"/>
      <c r="R81" s="1"/>
      <c r="S81" s="1"/>
      <c r="T81" s="1"/>
      <c r="U81" s="1"/>
      <c r="V81" s="1"/>
      <c r="W81" s="1"/>
      <c r="X81" s="1"/>
      <c r="Y81" s="1"/>
      <c r="Z81" s="1"/>
    </row>
    <row r="82" spans="1:26" ht="15" thickBot="1" x14ac:dyDescent="0.35">
      <c r="A82" s="18" t="s">
        <v>207</v>
      </c>
      <c r="B82" s="4">
        <v>45501</v>
      </c>
      <c r="C82" s="1" t="s">
        <v>147</v>
      </c>
      <c r="D82" s="1" t="s">
        <v>148</v>
      </c>
      <c r="E82" s="1" t="s">
        <v>105</v>
      </c>
      <c r="F82" s="1" t="s">
        <v>106</v>
      </c>
      <c r="G82" s="1" t="s">
        <v>46</v>
      </c>
      <c r="H82" s="5">
        <v>3</v>
      </c>
      <c r="I82" s="5">
        <v>299.99</v>
      </c>
      <c r="J82" s="1" t="s">
        <v>20</v>
      </c>
      <c r="K82" s="1" t="s">
        <v>21</v>
      </c>
      <c r="L82" s="1" t="s">
        <v>22</v>
      </c>
      <c r="M82" s="4">
        <v>44732</v>
      </c>
      <c r="N82" s="19">
        <v>899.97</v>
      </c>
      <c r="O82" s="1">
        <f>MONTH(Table1[[#This Row],[Customer_Since]])</f>
        <v>6</v>
      </c>
      <c r="P82" s="1">
        <f>YEAR(Table1[[#This Row],[Customer_Since]])</f>
        <v>2022</v>
      </c>
      <c r="Q82" s="1"/>
      <c r="R82" s="1"/>
      <c r="S82" s="1"/>
      <c r="T82" s="1"/>
      <c r="U82" s="1"/>
      <c r="V82" s="1"/>
      <c r="W82" s="1"/>
      <c r="X82" s="1"/>
      <c r="Y82" s="1"/>
      <c r="Z82" s="1"/>
    </row>
    <row r="83" spans="1:26" ht="15" thickBot="1" x14ac:dyDescent="0.35">
      <c r="A83" s="18" t="s">
        <v>208</v>
      </c>
      <c r="B83" s="4">
        <v>45503</v>
      </c>
      <c r="C83" s="1" t="s">
        <v>86</v>
      </c>
      <c r="D83" s="1" t="s">
        <v>87</v>
      </c>
      <c r="E83" s="1" t="s">
        <v>80</v>
      </c>
      <c r="F83" s="1" t="s">
        <v>81</v>
      </c>
      <c r="G83" s="1" t="s">
        <v>19</v>
      </c>
      <c r="H83" s="5">
        <v>2</v>
      </c>
      <c r="I83" s="5">
        <v>699.99</v>
      </c>
      <c r="J83" s="1" t="s">
        <v>26</v>
      </c>
      <c r="K83" s="1" t="s">
        <v>40</v>
      </c>
      <c r="L83" s="1" t="s">
        <v>27</v>
      </c>
      <c r="M83" s="4">
        <v>44999</v>
      </c>
      <c r="N83" s="19">
        <v>1399.98</v>
      </c>
      <c r="O83" s="1">
        <f>MONTH(Table1[[#This Row],[Customer_Since]])</f>
        <v>3</v>
      </c>
      <c r="P83" s="1">
        <f>YEAR(Table1[[#This Row],[Customer_Since]])</f>
        <v>2023</v>
      </c>
      <c r="Q83" s="1"/>
      <c r="R83" s="1"/>
      <c r="S83" s="1"/>
      <c r="T83" s="1"/>
      <c r="U83" s="1"/>
      <c r="V83" s="1"/>
      <c r="W83" s="1"/>
      <c r="X83" s="1"/>
      <c r="Y83" s="1"/>
      <c r="Z83" s="1"/>
    </row>
    <row r="84" spans="1:26" ht="15" thickBot="1" x14ac:dyDescent="0.35">
      <c r="A84" s="18" t="s">
        <v>209</v>
      </c>
      <c r="B84" s="4">
        <v>45504</v>
      </c>
      <c r="C84" s="1" t="s">
        <v>120</v>
      </c>
      <c r="D84" s="1" t="s">
        <v>121</v>
      </c>
      <c r="E84" s="1" t="s">
        <v>61</v>
      </c>
      <c r="F84" s="1" t="s">
        <v>62</v>
      </c>
      <c r="G84" s="1" t="s">
        <v>19</v>
      </c>
      <c r="H84" s="5">
        <v>4</v>
      </c>
      <c r="I84" s="5">
        <v>899.99</v>
      </c>
      <c r="J84" s="1" t="s">
        <v>57</v>
      </c>
      <c r="K84" s="1" t="s">
        <v>35</v>
      </c>
      <c r="L84" s="1" t="s">
        <v>36</v>
      </c>
      <c r="M84" s="4">
        <v>44523</v>
      </c>
      <c r="N84" s="19">
        <v>3599.96</v>
      </c>
      <c r="O84" s="1">
        <f>MONTH(Table1[[#This Row],[Customer_Since]])</f>
        <v>11</v>
      </c>
      <c r="P84" s="1">
        <f>YEAR(Table1[[#This Row],[Customer_Since]])</f>
        <v>2021</v>
      </c>
      <c r="Q84" s="1"/>
      <c r="R84" s="1"/>
      <c r="S84" s="1"/>
      <c r="T84" s="1"/>
      <c r="U84" s="1"/>
      <c r="V84" s="1"/>
      <c r="W84" s="1"/>
      <c r="X84" s="1"/>
      <c r="Y84" s="1"/>
      <c r="Z84" s="1"/>
    </row>
    <row r="85" spans="1:26" ht="15" thickBot="1" x14ac:dyDescent="0.35">
      <c r="A85" s="18" t="s">
        <v>210</v>
      </c>
      <c r="B85" s="4">
        <v>45509</v>
      </c>
      <c r="C85" s="1" t="s">
        <v>211</v>
      </c>
      <c r="D85" s="1" t="s">
        <v>212</v>
      </c>
      <c r="E85" s="1" t="s">
        <v>44</v>
      </c>
      <c r="F85" s="1" t="s">
        <v>45</v>
      </c>
      <c r="G85" s="1" t="s">
        <v>46</v>
      </c>
      <c r="H85" s="5">
        <v>2</v>
      </c>
      <c r="I85" s="5">
        <v>149.99</v>
      </c>
      <c r="J85" s="1" t="s">
        <v>26</v>
      </c>
      <c r="K85" s="1" t="s">
        <v>50</v>
      </c>
      <c r="L85" s="1" t="s">
        <v>22</v>
      </c>
      <c r="M85" s="4">
        <v>44542</v>
      </c>
      <c r="N85" s="19">
        <v>299.98</v>
      </c>
      <c r="O85" s="1">
        <f>MONTH(Table1[[#This Row],[Customer_Since]])</f>
        <v>12</v>
      </c>
      <c r="P85" s="1">
        <f>YEAR(Table1[[#This Row],[Customer_Since]])</f>
        <v>2021</v>
      </c>
      <c r="Q85" s="1"/>
      <c r="R85" s="1"/>
      <c r="S85" s="1"/>
      <c r="T85" s="1"/>
      <c r="U85" s="1"/>
      <c r="V85" s="1"/>
      <c r="W85" s="1"/>
      <c r="X85" s="1"/>
      <c r="Y85" s="1"/>
      <c r="Z85" s="1"/>
    </row>
    <row r="86" spans="1:26" ht="15" thickBot="1" x14ac:dyDescent="0.35">
      <c r="A86" s="18" t="s">
        <v>213</v>
      </c>
      <c r="B86" s="4">
        <v>45510</v>
      </c>
      <c r="C86" s="1" t="s">
        <v>102</v>
      </c>
      <c r="D86" s="1" t="s">
        <v>103</v>
      </c>
      <c r="E86" s="1" t="s">
        <v>44</v>
      </c>
      <c r="F86" s="1" t="s">
        <v>45</v>
      </c>
      <c r="G86" s="1" t="s">
        <v>46</v>
      </c>
      <c r="H86" s="5">
        <v>2</v>
      </c>
      <c r="I86" s="5">
        <v>149.99</v>
      </c>
      <c r="J86" s="1" t="s">
        <v>57</v>
      </c>
      <c r="K86" s="1" t="s">
        <v>63</v>
      </c>
      <c r="L86" s="1" t="s">
        <v>36</v>
      </c>
      <c r="M86" s="4">
        <v>44667</v>
      </c>
      <c r="N86" s="19">
        <v>299.98</v>
      </c>
      <c r="O86" s="1">
        <f>MONTH(Table1[[#This Row],[Customer_Since]])</f>
        <v>4</v>
      </c>
      <c r="P86" s="1">
        <f>YEAR(Table1[[#This Row],[Customer_Since]])</f>
        <v>2022</v>
      </c>
      <c r="Q86" s="1"/>
      <c r="R86" s="1"/>
      <c r="S86" s="1"/>
      <c r="T86" s="1"/>
      <c r="U86" s="1"/>
      <c r="V86" s="1"/>
      <c r="W86" s="1"/>
      <c r="X86" s="1"/>
      <c r="Y86" s="1"/>
      <c r="Z86" s="1"/>
    </row>
    <row r="87" spans="1:26" ht="15" thickBot="1" x14ac:dyDescent="0.35">
      <c r="A87" s="18" t="s">
        <v>214</v>
      </c>
      <c r="B87" s="4">
        <v>45513</v>
      </c>
      <c r="C87" s="1" t="s">
        <v>89</v>
      </c>
      <c r="D87" s="1" t="s">
        <v>90</v>
      </c>
      <c r="E87" s="1" t="s">
        <v>117</v>
      </c>
      <c r="F87" s="1" t="s">
        <v>118</v>
      </c>
      <c r="G87" s="1" t="s">
        <v>19</v>
      </c>
      <c r="H87" s="5">
        <v>1</v>
      </c>
      <c r="I87" s="5">
        <v>89.99</v>
      </c>
      <c r="J87" s="1" t="s">
        <v>26</v>
      </c>
      <c r="K87" s="1" t="s">
        <v>40</v>
      </c>
      <c r="L87" s="1" t="s">
        <v>36</v>
      </c>
      <c r="M87" s="4">
        <v>45393</v>
      </c>
      <c r="N87" s="19">
        <v>89.99</v>
      </c>
      <c r="O87" s="1">
        <f>MONTH(Table1[[#This Row],[Customer_Since]])</f>
        <v>4</v>
      </c>
      <c r="P87" s="1">
        <f>YEAR(Table1[[#This Row],[Customer_Since]])</f>
        <v>2024</v>
      </c>
      <c r="Q87" s="1"/>
      <c r="R87" s="1"/>
      <c r="S87" s="1"/>
      <c r="T87" s="1"/>
      <c r="U87" s="1"/>
      <c r="V87" s="1"/>
      <c r="W87" s="1"/>
      <c r="X87" s="1"/>
      <c r="Y87" s="1"/>
      <c r="Z87" s="1"/>
    </row>
    <row r="88" spans="1:26" ht="15" thickBot="1" x14ac:dyDescent="0.35">
      <c r="A88" s="18" t="s">
        <v>215</v>
      </c>
      <c r="B88" s="4">
        <v>45515</v>
      </c>
      <c r="C88" s="1" t="s">
        <v>86</v>
      </c>
      <c r="D88" s="1" t="s">
        <v>87</v>
      </c>
      <c r="E88" s="1" t="s">
        <v>105</v>
      </c>
      <c r="F88" s="1" t="s">
        <v>106</v>
      </c>
      <c r="G88" s="1" t="s">
        <v>46</v>
      </c>
      <c r="H88" s="5">
        <v>5</v>
      </c>
      <c r="I88" s="5">
        <v>299.99</v>
      </c>
      <c r="J88" s="1" t="s">
        <v>26</v>
      </c>
      <c r="K88" s="1" t="s">
        <v>40</v>
      </c>
      <c r="L88" s="1" t="s">
        <v>22</v>
      </c>
      <c r="M88" s="4">
        <v>44965</v>
      </c>
      <c r="N88" s="19">
        <v>1499.95</v>
      </c>
      <c r="O88" s="1">
        <f>MONTH(Table1[[#This Row],[Customer_Since]])</f>
        <v>2</v>
      </c>
      <c r="P88" s="1">
        <f>YEAR(Table1[[#This Row],[Customer_Since]])</f>
        <v>2023</v>
      </c>
      <c r="Q88" s="1"/>
      <c r="R88" s="1"/>
      <c r="S88" s="1"/>
      <c r="T88" s="1"/>
      <c r="U88" s="1"/>
      <c r="V88" s="1"/>
      <c r="W88" s="1"/>
      <c r="X88" s="1"/>
      <c r="Y88" s="1"/>
      <c r="Z88" s="1"/>
    </row>
    <row r="89" spans="1:26" ht="15" thickBot="1" x14ac:dyDescent="0.35">
      <c r="A89" s="18" t="s">
        <v>216</v>
      </c>
      <c r="B89" s="4">
        <v>45517</v>
      </c>
      <c r="C89" s="1" t="s">
        <v>182</v>
      </c>
      <c r="D89" s="1" t="s">
        <v>183</v>
      </c>
      <c r="E89" s="1" t="s">
        <v>52</v>
      </c>
      <c r="F89" s="1" t="s">
        <v>53</v>
      </c>
      <c r="G89" s="1" t="s">
        <v>19</v>
      </c>
      <c r="H89" s="5">
        <v>4</v>
      </c>
      <c r="I89" s="5">
        <v>149.99</v>
      </c>
      <c r="J89" s="1" t="s">
        <v>57</v>
      </c>
      <c r="K89" s="1" t="s">
        <v>35</v>
      </c>
      <c r="L89" s="1" t="s">
        <v>27</v>
      </c>
      <c r="M89" s="4">
        <v>44820</v>
      </c>
      <c r="N89" s="19">
        <v>599.96</v>
      </c>
      <c r="O89" s="1">
        <f>MONTH(Table1[[#This Row],[Customer_Since]])</f>
        <v>9</v>
      </c>
      <c r="P89" s="1">
        <f>YEAR(Table1[[#This Row],[Customer_Since]])</f>
        <v>2022</v>
      </c>
      <c r="Q89" s="1"/>
      <c r="R89" s="1"/>
      <c r="S89" s="1"/>
      <c r="T89" s="1"/>
      <c r="U89" s="1"/>
      <c r="V89" s="1"/>
      <c r="W89" s="1"/>
      <c r="X89" s="1"/>
      <c r="Y89" s="1"/>
      <c r="Z89" s="1"/>
    </row>
    <row r="90" spans="1:26" ht="15" thickBot="1" x14ac:dyDescent="0.35">
      <c r="A90" s="18" t="s">
        <v>217</v>
      </c>
      <c r="B90" s="4">
        <v>45517</v>
      </c>
      <c r="C90" s="1" t="s">
        <v>185</v>
      </c>
      <c r="D90" s="1" t="s">
        <v>186</v>
      </c>
      <c r="E90" s="1" t="s">
        <v>17</v>
      </c>
      <c r="F90" s="1" t="s">
        <v>18</v>
      </c>
      <c r="G90" s="1" t="s">
        <v>19</v>
      </c>
      <c r="H90" s="5">
        <v>5</v>
      </c>
      <c r="I90" s="5">
        <v>249.99</v>
      </c>
      <c r="J90" s="1" t="s">
        <v>34</v>
      </c>
      <c r="K90" s="1" t="s">
        <v>63</v>
      </c>
      <c r="L90" s="1" t="s">
        <v>27</v>
      </c>
      <c r="M90" s="4">
        <v>44782</v>
      </c>
      <c r="N90" s="19">
        <v>1249.95</v>
      </c>
      <c r="O90" s="1">
        <f>MONTH(Table1[[#This Row],[Customer_Since]])</f>
        <v>8</v>
      </c>
      <c r="P90" s="1">
        <f>YEAR(Table1[[#This Row],[Customer_Since]])</f>
        <v>2022</v>
      </c>
      <c r="Q90" s="1"/>
      <c r="R90" s="1"/>
      <c r="S90" s="1"/>
      <c r="T90" s="1"/>
      <c r="U90" s="1"/>
      <c r="V90" s="1"/>
      <c r="W90" s="1"/>
      <c r="X90" s="1"/>
      <c r="Y90" s="1"/>
      <c r="Z90" s="1"/>
    </row>
    <row r="91" spans="1:26" ht="15" thickBot="1" x14ac:dyDescent="0.35">
      <c r="A91" s="18" t="s">
        <v>218</v>
      </c>
      <c r="B91" s="4">
        <v>45517</v>
      </c>
      <c r="C91" s="1" t="s">
        <v>65</v>
      </c>
      <c r="D91" s="1" t="s">
        <v>66</v>
      </c>
      <c r="E91" s="1" t="s">
        <v>17</v>
      </c>
      <c r="F91" s="1" t="s">
        <v>18</v>
      </c>
      <c r="G91" s="1" t="s">
        <v>19</v>
      </c>
      <c r="H91" s="5">
        <v>3</v>
      </c>
      <c r="I91" s="5">
        <v>249.99</v>
      </c>
      <c r="J91" s="1" t="s">
        <v>34</v>
      </c>
      <c r="K91" s="1" t="s">
        <v>40</v>
      </c>
      <c r="L91" s="1" t="s">
        <v>27</v>
      </c>
      <c r="M91" s="4">
        <v>44465</v>
      </c>
      <c r="N91" s="19">
        <v>749.97</v>
      </c>
      <c r="O91" s="1">
        <f>MONTH(Table1[[#This Row],[Customer_Since]])</f>
        <v>9</v>
      </c>
      <c r="P91" s="1">
        <f>YEAR(Table1[[#This Row],[Customer_Since]])</f>
        <v>2021</v>
      </c>
      <c r="Q91" s="1"/>
      <c r="R91" s="1"/>
      <c r="S91" s="1"/>
      <c r="T91" s="1"/>
      <c r="U91" s="1"/>
      <c r="V91" s="1"/>
      <c r="W91" s="1"/>
      <c r="X91" s="1"/>
      <c r="Y91" s="1"/>
      <c r="Z91" s="1"/>
    </row>
    <row r="92" spans="1:26" ht="15" thickBot="1" x14ac:dyDescent="0.35">
      <c r="A92" s="18" t="s">
        <v>219</v>
      </c>
      <c r="B92" s="4">
        <v>45517</v>
      </c>
      <c r="C92" s="1" t="s">
        <v>38</v>
      </c>
      <c r="D92" s="1" t="s">
        <v>39</v>
      </c>
      <c r="E92" s="1" t="s">
        <v>126</v>
      </c>
      <c r="F92" s="1" t="s">
        <v>127</v>
      </c>
      <c r="G92" s="1" t="s">
        <v>46</v>
      </c>
      <c r="H92" s="5">
        <v>4</v>
      </c>
      <c r="I92" s="5">
        <v>199.99</v>
      </c>
      <c r="J92" s="1" t="s">
        <v>20</v>
      </c>
      <c r="K92" s="1" t="s">
        <v>40</v>
      </c>
      <c r="L92" s="1" t="s">
        <v>36</v>
      </c>
      <c r="M92" s="4">
        <v>44458</v>
      </c>
      <c r="N92" s="19">
        <v>799.96</v>
      </c>
      <c r="O92" s="1">
        <f>MONTH(Table1[[#This Row],[Customer_Since]])</f>
        <v>9</v>
      </c>
      <c r="P92" s="1">
        <f>YEAR(Table1[[#This Row],[Customer_Since]])</f>
        <v>2021</v>
      </c>
      <c r="Q92" s="1"/>
      <c r="R92" s="1"/>
      <c r="S92" s="1"/>
      <c r="T92" s="1"/>
      <c r="U92" s="1"/>
      <c r="V92" s="1"/>
      <c r="W92" s="1"/>
      <c r="X92" s="1"/>
      <c r="Y92" s="1"/>
      <c r="Z92" s="1"/>
    </row>
    <row r="93" spans="1:26" ht="15" thickBot="1" x14ac:dyDescent="0.35">
      <c r="A93" s="18" t="s">
        <v>220</v>
      </c>
      <c r="B93" s="4">
        <v>45519</v>
      </c>
      <c r="C93" s="1" t="s">
        <v>158</v>
      </c>
      <c r="D93" s="1" t="s">
        <v>159</v>
      </c>
      <c r="E93" s="1" t="s">
        <v>126</v>
      </c>
      <c r="F93" s="1" t="s">
        <v>127</v>
      </c>
      <c r="G93" s="1" t="s">
        <v>46</v>
      </c>
      <c r="H93" s="5">
        <v>5</v>
      </c>
      <c r="I93" s="5">
        <v>199.99</v>
      </c>
      <c r="J93" s="1" t="s">
        <v>20</v>
      </c>
      <c r="K93" s="1" t="s">
        <v>40</v>
      </c>
      <c r="L93" s="1" t="s">
        <v>27</v>
      </c>
      <c r="M93" s="4">
        <v>44991</v>
      </c>
      <c r="N93" s="19">
        <v>999.95</v>
      </c>
      <c r="O93" s="1">
        <f>MONTH(Table1[[#This Row],[Customer_Since]])</f>
        <v>3</v>
      </c>
      <c r="P93" s="1">
        <f>YEAR(Table1[[#This Row],[Customer_Since]])</f>
        <v>2023</v>
      </c>
      <c r="Q93" s="1"/>
      <c r="R93" s="1"/>
      <c r="S93" s="1"/>
      <c r="T93" s="1"/>
      <c r="U93" s="1"/>
      <c r="V93" s="1"/>
      <c r="W93" s="1"/>
      <c r="X93" s="1"/>
      <c r="Y93" s="1"/>
      <c r="Z93" s="1"/>
    </row>
    <row r="94" spans="1:26" ht="15" thickBot="1" x14ac:dyDescent="0.35">
      <c r="A94" s="18" t="s">
        <v>221</v>
      </c>
      <c r="B94" s="4">
        <v>45522</v>
      </c>
      <c r="C94" s="1" t="s">
        <v>86</v>
      </c>
      <c r="D94" s="1" t="s">
        <v>87</v>
      </c>
      <c r="E94" s="1" t="s">
        <v>117</v>
      </c>
      <c r="F94" s="1" t="s">
        <v>118</v>
      </c>
      <c r="G94" s="1" t="s">
        <v>19</v>
      </c>
      <c r="H94" s="5">
        <v>2</v>
      </c>
      <c r="I94" s="5">
        <v>89.99</v>
      </c>
      <c r="J94" s="1" t="s">
        <v>20</v>
      </c>
      <c r="K94" s="1" t="s">
        <v>63</v>
      </c>
      <c r="L94" s="1" t="s">
        <v>27</v>
      </c>
      <c r="M94" s="4">
        <v>44972</v>
      </c>
      <c r="N94" s="19">
        <v>179.98</v>
      </c>
      <c r="O94" s="1">
        <f>MONTH(Table1[[#This Row],[Customer_Since]])</f>
        <v>2</v>
      </c>
      <c r="P94" s="1">
        <f>YEAR(Table1[[#This Row],[Customer_Since]])</f>
        <v>2023</v>
      </c>
      <c r="Q94" s="1"/>
      <c r="R94" s="1"/>
      <c r="S94" s="1"/>
      <c r="T94" s="1"/>
      <c r="U94" s="1"/>
      <c r="V94" s="1"/>
      <c r="W94" s="1"/>
      <c r="X94" s="1"/>
      <c r="Y94" s="1"/>
      <c r="Z94" s="1"/>
    </row>
    <row r="95" spans="1:26" ht="15" thickBot="1" x14ac:dyDescent="0.35">
      <c r="A95" s="18" t="s">
        <v>222</v>
      </c>
      <c r="B95" s="4">
        <v>45523</v>
      </c>
      <c r="C95" s="1" t="s">
        <v>196</v>
      </c>
      <c r="D95" s="1" t="s">
        <v>197</v>
      </c>
      <c r="E95" s="1" t="s">
        <v>61</v>
      </c>
      <c r="F95" s="1" t="s">
        <v>62</v>
      </c>
      <c r="G95" s="1" t="s">
        <v>19</v>
      </c>
      <c r="H95" s="5">
        <v>5</v>
      </c>
      <c r="I95" s="5">
        <v>899.99</v>
      </c>
      <c r="J95" s="1" t="s">
        <v>57</v>
      </c>
      <c r="K95" s="1" t="s">
        <v>63</v>
      </c>
      <c r="L95" s="1" t="s">
        <v>22</v>
      </c>
      <c r="M95" s="4">
        <v>44526</v>
      </c>
      <c r="N95" s="19">
        <v>4499.95</v>
      </c>
      <c r="O95" s="1">
        <f>MONTH(Table1[[#This Row],[Customer_Since]])</f>
        <v>11</v>
      </c>
      <c r="P95" s="1">
        <f>YEAR(Table1[[#This Row],[Customer_Since]])</f>
        <v>2021</v>
      </c>
      <c r="Q95" s="1"/>
      <c r="R95" s="1"/>
      <c r="S95" s="1"/>
      <c r="T95" s="1"/>
      <c r="U95" s="1"/>
      <c r="V95" s="1"/>
      <c r="W95" s="1"/>
      <c r="X95" s="1"/>
      <c r="Y95" s="1"/>
      <c r="Z95" s="1"/>
    </row>
    <row r="96" spans="1:26" ht="15" thickBot="1" x14ac:dyDescent="0.35">
      <c r="A96" s="18" t="s">
        <v>223</v>
      </c>
      <c r="B96" s="4">
        <v>45523</v>
      </c>
      <c r="C96" s="1" t="s">
        <v>108</v>
      </c>
      <c r="D96" s="1" t="s">
        <v>109</v>
      </c>
      <c r="E96" s="1" t="s">
        <v>52</v>
      </c>
      <c r="F96" s="1" t="s">
        <v>53</v>
      </c>
      <c r="G96" s="1" t="s">
        <v>19</v>
      </c>
      <c r="H96" s="5">
        <v>3</v>
      </c>
      <c r="I96" s="5">
        <v>149.99</v>
      </c>
      <c r="J96" s="1" t="s">
        <v>34</v>
      </c>
      <c r="K96" s="1" t="s">
        <v>63</v>
      </c>
      <c r="L96" s="1" t="s">
        <v>22</v>
      </c>
      <c r="M96" s="4">
        <v>44574</v>
      </c>
      <c r="N96" s="19">
        <v>449.97</v>
      </c>
      <c r="O96" s="1">
        <f>MONTH(Table1[[#This Row],[Customer_Since]])</f>
        <v>1</v>
      </c>
      <c r="P96" s="1">
        <f>YEAR(Table1[[#This Row],[Customer_Since]])</f>
        <v>2022</v>
      </c>
      <c r="Q96" s="1"/>
      <c r="R96" s="1"/>
      <c r="S96" s="1"/>
      <c r="T96" s="1"/>
      <c r="U96" s="1"/>
      <c r="V96" s="1"/>
      <c r="W96" s="1"/>
      <c r="X96" s="1"/>
      <c r="Y96" s="1"/>
      <c r="Z96" s="1"/>
    </row>
    <row r="97" spans="1:26" ht="15" thickBot="1" x14ac:dyDescent="0.35">
      <c r="A97" s="18" t="s">
        <v>224</v>
      </c>
      <c r="B97" s="4">
        <v>45526</v>
      </c>
      <c r="C97" s="1" t="s">
        <v>102</v>
      </c>
      <c r="D97" s="1" t="s">
        <v>103</v>
      </c>
      <c r="E97" s="1" t="s">
        <v>44</v>
      </c>
      <c r="F97" s="1" t="s">
        <v>45</v>
      </c>
      <c r="G97" s="1" t="s">
        <v>46</v>
      </c>
      <c r="H97" s="5">
        <v>5</v>
      </c>
      <c r="I97" s="5">
        <v>149.99</v>
      </c>
      <c r="J97" s="1" t="s">
        <v>26</v>
      </c>
      <c r="K97" s="1" t="s">
        <v>21</v>
      </c>
      <c r="L97" s="1" t="s">
        <v>22</v>
      </c>
      <c r="M97" s="4">
        <v>45310</v>
      </c>
      <c r="N97" s="19">
        <v>749.95</v>
      </c>
      <c r="O97" s="1">
        <f>MONTH(Table1[[#This Row],[Customer_Since]])</f>
        <v>1</v>
      </c>
      <c r="P97" s="1">
        <f>YEAR(Table1[[#This Row],[Customer_Since]])</f>
        <v>2024</v>
      </c>
      <c r="Q97" s="1"/>
      <c r="R97" s="1"/>
      <c r="S97" s="1"/>
      <c r="T97" s="1"/>
      <c r="U97" s="1"/>
      <c r="V97" s="1"/>
      <c r="W97" s="1"/>
      <c r="X97" s="1"/>
      <c r="Y97" s="1"/>
      <c r="Z97" s="1"/>
    </row>
    <row r="98" spans="1:26" ht="15" thickBot="1" x14ac:dyDescent="0.35">
      <c r="A98" s="18" t="s">
        <v>225</v>
      </c>
      <c r="B98" s="4">
        <v>45528</v>
      </c>
      <c r="C98" s="1" t="s">
        <v>226</v>
      </c>
      <c r="D98" s="1" t="s">
        <v>227</v>
      </c>
      <c r="E98" s="1" t="s">
        <v>114</v>
      </c>
      <c r="F98" s="1" t="s">
        <v>115</v>
      </c>
      <c r="G98" s="1" t="s">
        <v>33</v>
      </c>
      <c r="H98" s="5">
        <v>3</v>
      </c>
      <c r="I98" s="5">
        <v>79.989999999999995</v>
      </c>
      <c r="J98" s="1" t="s">
        <v>20</v>
      </c>
      <c r="K98" s="1" t="s">
        <v>21</v>
      </c>
      <c r="L98" s="1" t="s">
        <v>27</v>
      </c>
      <c r="M98" s="4">
        <v>44779</v>
      </c>
      <c r="N98" s="19">
        <v>239.97</v>
      </c>
      <c r="O98" s="1">
        <f>MONTH(Table1[[#This Row],[Customer_Since]])</f>
        <v>8</v>
      </c>
      <c r="P98" s="1">
        <f>YEAR(Table1[[#This Row],[Customer_Since]])</f>
        <v>2022</v>
      </c>
      <c r="Q98" s="1"/>
      <c r="R98" s="1"/>
      <c r="S98" s="1"/>
      <c r="T98" s="1"/>
      <c r="U98" s="1"/>
      <c r="V98" s="1"/>
      <c r="W98" s="1"/>
      <c r="X98" s="1"/>
      <c r="Y98" s="1"/>
      <c r="Z98" s="1"/>
    </row>
    <row r="99" spans="1:26" ht="15" thickBot="1" x14ac:dyDescent="0.35">
      <c r="A99" s="18" t="s">
        <v>228</v>
      </c>
      <c r="B99" s="4">
        <v>45528</v>
      </c>
      <c r="C99" s="1" t="s">
        <v>144</v>
      </c>
      <c r="D99" s="1" t="s">
        <v>145</v>
      </c>
      <c r="E99" s="1" t="s">
        <v>17</v>
      </c>
      <c r="F99" s="1" t="s">
        <v>18</v>
      </c>
      <c r="G99" s="1" t="s">
        <v>19</v>
      </c>
      <c r="H99" s="5">
        <v>2</v>
      </c>
      <c r="I99" s="5">
        <v>249.99</v>
      </c>
      <c r="J99" s="1" t="s">
        <v>20</v>
      </c>
      <c r="K99" s="1" t="s">
        <v>35</v>
      </c>
      <c r="L99" s="1" t="s">
        <v>36</v>
      </c>
      <c r="M99" s="4">
        <v>44572</v>
      </c>
      <c r="N99" s="19">
        <v>499.98</v>
      </c>
      <c r="O99" s="1">
        <f>MONTH(Table1[[#This Row],[Customer_Since]])</f>
        <v>1</v>
      </c>
      <c r="P99" s="1">
        <f>YEAR(Table1[[#This Row],[Customer_Since]])</f>
        <v>2022</v>
      </c>
      <c r="Q99" s="1"/>
      <c r="R99" s="1"/>
      <c r="S99" s="1"/>
      <c r="T99" s="1"/>
      <c r="U99" s="1"/>
      <c r="V99" s="1"/>
      <c r="W99" s="1"/>
      <c r="X99" s="1"/>
      <c r="Y99" s="1"/>
      <c r="Z99" s="1"/>
    </row>
    <row r="100" spans="1:26" ht="15" thickBot="1" x14ac:dyDescent="0.35">
      <c r="A100" s="18" t="s">
        <v>229</v>
      </c>
      <c r="B100" s="4">
        <v>45532</v>
      </c>
      <c r="C100" s="1" t="s">
        <v>196</v>
      </c>
      <c r="D100" s="1" t="s">
        <v>197</v>
      </c>
      <c r="E100" s="1" t="s">
        <v>80</v>
      </c>
      <c r="F100" s="1" t="s">
        <v>81</v>
      </c>
      <c r="G100" s="1" t="s">
        <v>19</v>
      </c>
      <c r="H100" s="5">
        <v>1</v>
      </c>
      <c r="I100" s="5">
        <v>699.99</v>
      </c>
      <c r="J100" s="1" t="s">
        <v>20</v>
      </c>
      <c r="K100" s="1" t="s">
        <v>21</v>
      </c>
      <c r="L100" s="1" t="s">
        <v>27</v>
      </c>
      <c r="M100" s="4">
        <v>44497</v>
      </c>
      <c r="N100" s="19">
        <v>699.99</v>
      </c>
      <c r="O100" s="1">
        <f>MONTH(Table1[[#This Row],[Customer_Since]])</f>
        <v>10</v>
      </c>
      <c r="P100" s="1">
        <f>YEAR(Table1[[#This Row],[Customer_Since]])</f>
        <v>2021</v>
      </c>
      <c r="Q100" s="1"/>
      <c r="R100" s="1"/>
      <c r="S100" s="1"/>
      <c r="T100" s="1"/>
      <c r="U100" s="1"/>
      <c r="V100" s="1"/>
      <c r="W100" s="1"/>
      <c r="X100" s="1"/>
      <c r="Y100" s="1"/>
      <c r="Z100" s="1"/>
    </row>
    <row r="101" spans="1:26" ht="15" thickBot="1" x14ac:dyDescent="0.35">
      <c r="A101" s="18" t="s">
        <v>230</v>
      </c>
      <c r="B101" s="4">
        <v>45532</v>
      </c>
      <c r="C101" s="1" t="s">
        <v>231</v>
      </c>
      <c r="D101" s="1" t="s">
        <v>232</v>
      </c>
      <c r="E101" s="1" t="s">
        <v>52</v>
      </c>
      <c r="F101" s="1" t="s">
        <v>53</v>
      </c>
      <c r="G101" s="1" t="s">
        <v>19</v>
      </c>
      <c r="H101" s="5">
        <v>3</v>
      </c>
      <c r="I101" s="5">
        <v>149.99</v>
      </c>
      <c r="J101" s="1" t="s">
        <v>20</v>
      </c>
      <c r="K101" s="1" t="s">
        <v>50</v>
      </c>
      <c r="L101" s="1" t="s">
        <v>27</v>
      </c>
      <c r="M101" s="4">
        <v>45212</v>
      </c>
      <c r="N101" s="19">
        <v>449.97</v>
      </c>
      <c r="O101" s="1">
        <f>MONTH(Table1[[#This Row],[Customer_Since]])</f>
        <v>10</v>
      </c>
      <c r="P101" s="1">
        <f>YEAR(Table1[[#This Row],[Customer_Since]])</f>
        <v>2023</v>
      </c>
      <c r="Q101" s="1"/>
      <c r="R101" s="1"/>
      <c r="S101" s="1"/>
      <c r="T101" s="1"/>
      <c r="U101" s="1"/>
      <c r="V101" s="1"/>
      <c r="W101" s="1"/>
      <c r="X101" s="1"/>
      <c r="Y101" s="1"/>
      <c r="Z101" s="1"/>
    </row>
    <row r="102" spans="1:26" ht="15" thickBot="1" x14ac:dyDescent="0.35">
      <c r="A102" s="18" t="s">
        <v>233</v>
      </c>
      <c r="B102" s="4">
        <v>45534</v>
      </c>
      <c r="C102" s="1" t="s">
        <v>234</v>
      </c>
      <c r="D102" s="1" t="s">
        <v>235</v>
      </c>
      <c r="E102" s="1" t="s">
        <v>80</v>
      </c>
      <c r="F102" s="1" t="s">
        <v>81</v>
      </c>
      <c r="G102" s="1" t="s">
        <v>19</v>
      </c>
      <c r="H102" s="5">
        <v>2</v>
      </c>
      <c r="I102" s="5">
        <v>699.99</v>
      </c>
      <c r="J102" s="1" t="s">
        <v>26</v>
      </c>
      <c r="K102" s="1" t="s">
        <v>40</v>
      </c>
      <c r="L102" s="1" t="s">
        <v>27</v>
      </c>
      <c r="M102" s="4">
        <v>44421</v>
      </c>
      <c r="N102" s="19">
        <v>1399.98</v>
      </c>
      <c r="O102" s="1">
        <f>MONTH(Table1[[#This Row],[Customer_Since]])</f>
        <v>8</v>
      </c>
      <c r="P102" s="1">
        <f>YEAR(Table1[[#This Row],[Customer_Since]])</f>
        <v>2021</v>
      </c>
      <c r="Q102" s="1"/>
      <c r="R102" s="1"/>
      <c r="S102" s="1"/>
      <c r="T102" s="1"/>
      <c r="U102" s="1"/>
      <c r="V102" s="1"/>
      <c r="W102" s="1"/>
      <c r="X102" s="1"/>
      <c r="Y102" s="1"/>
      <c r="Z102" s="1"/>
    </row>
    <row r="103" spans="1:26" ht="15" thickBot="1" x14ac:dyDescent="0.35">
      <c r="A103" s="18" t="s">
        <v>236</v>
      </c>
      <c r="B103" s="4">
        <v>45537</v>
      </c>
      <c r="C103" s="1" t="s">
        <v>231</v>
      </c>
      <c r="D103" s="1" t="s">
        <v>232</v>
      </c>
      <c r="E103" s="1" t="s">
        <v>17</v>
      </c>
      <c r="F103" s="1" t="s">
        <v>18</v>
      </c>
      <c r="G103" s="1" t="s">
        <v>19</v>
      </c>
      <c r="H103" s="5">
        <v>1</v>
      </c>
      <c r="I103" s="5">
        <v>249.99</v>
      </c>
      <c r="J103" s="1" t="s">
        <v>26</v>
      </c>
      <c r="K103" s="1" t="s">
        <v>50</v>
      </c>
      <c r="L103" s="1" t="s">
        <v>27</v>
      </c>
      <c r="M103" s="4">
        <v>44685</v>
      </c>
      <c r="N103" s="19">
        <v>249.99</v>
      </c>
      <c r="O103" s="1">
        <f>MONTH(Table1[[#This Row],[Customer_Since]])</f>
        <v>5</v>
      </c>
      <c r="P103" s="1">
        <f>YEAR(Table1[[#This Row],[Customer_Since]])</f>
        <v>2022</v>
      </c>
      <c r="Q103" s="1"/>
      <c r="R103" s="1"/>
      <c r="S103" s="1"/>
      <c r="T103" s="1"/>
      <c r="U103" s="1"/>
      <c r="V103" s="1"/>
      <c r="W103" s="1"/>
      <c r="X103" s="1"/>
      <c r="Y103" s="1"/>
      <c r="Z103" s="1"/>
    </row>
    <row r="104" spans="1:26" ht="15" thickBot="1" x14ac:dyDescent="0.35">
      <c r="A104" s="18" t="s">
        <v>237</v>
      </c>
      <c r="B104" s="4">
        <v>45537</v>
      </c>
      <c r="C104" s="1" t="s">
        <v>15</v>
      </c>
      <c r="D104" s="1" t="s">
        <v>16</v>
      </c>
      <c r="E104" s="1" t="s">
        <v>17</v>
      </c>
      <c r="F104" s="1" t="s">
        <v>18</v>
      </c>
      <c r="G104" s="1" t="s">
        <v>19</v>
      </c>
      <c r="H104" s="5">
        <v>1</v>
      </c>
      <c r="I104" s="5">
        <v>249.99</v>
      </c>
      <c r="J104" s="1" t="s">
        <v>57</v>
      </c>
      <c r="K104" s="1" t="s">
        <v>40</v>
      </c>
      <c r="L104" s="1" t="s">
        <v>27</v>
      </c>
      <c r="M104" s="4">
        <v>45332</v>
      </c>
      <c r="N104" s="19">
        <v>249.99</v>
      </c>
      <c r="O104" s="1">
        <f>MONTH(Table1[[#This Row],[Customer_Since]])</f>
        <v>2</v>
      </c>
      <c r="P104" s="1">
        <f>YEAR(Table1[[#This Row],[Customer_Since]])</f>
        <v>2024</v>
      </c>
      <c r="Q104" s="1"/>
      <c r="R104" s="1"/>
      <c r="S104" s="1"/>
      <c r="T104" s="1"/>
      <c r="U104" s="1"/>
      <c r="V104" s="1"/>
      <c r="W104" s="1"/>
      <c r="X104" s="1"/>
      <c r="Y104" s="1"/>
      <c r="Z104" s="1"/>
    </row>
    <row r="105" spans="1:26" ht="15" thickBot="1" x14ac:dyDescent="0.35">
      <c r="A105" s="18" t="s">
        <v>238</v>
      </c>
      <c r="B105" s="4">
        <v>45538</v>
      </c>
      <c r="C105" s="1" t="s">
        <v>226</v>
      </c>
      <c r="D105" s="1" t="s">
        <v>227</v>
      </c>
      <c r="E105" s="1" t="s">
        <v>80</v>
      </c>
      <c r="F105" s="1" t="s">
        <v>81</v>
      </c>
      <c r="G105" s="1" t="s">
        <v>19</v>
      </c>
      <c r="H105" s="5">
        <v>2</v>
      </c>
      <c r="I105" s="5">
        <v>699.99</v>
      </c>
      <c r="J105" s="1" t="s">
        <v>57</v>
      </c>
      <c r="K105" s="1" t="s">
        <v>21</v>
      </c>
      <c r="L105" s="1" t="s">
        <v>27</v>
      </c>
      <c r="M105" s="4">
        <v>44870</v>
      </c>
      <c r="N105" s="19">
        <v>1399.98</v>
      </c>
      <c r="O105" s="1">
        <f>MONTH(Table1[[#This Row],[Customer_Since]])</f>
        <v>11</v>
      </c>
      <c r="P105" s="1">
        <f>YEAR(Table1[[#This Row],[Customer_Since]])</f>
        <v>2022</v>
      </c>
      <c r="Q105" s="1"/>
      <c r="R105" s="1"/>
      <c r="S105" s="1"/>
      <c r="T105" s="1"/>
      <c r="U105" s="1"/>
      <c r="V105" s="1"/>
      <c r="W105" s="1"/>
      <c r="X105" s="1"/>
      <c r="Y105" s="1"/>
      <c r="Z105" s="1"/>
    </row>
    <row r="106" spans="1:26" ht="15" thickBot="1" x14ac:dyDescent="0.35">
      <c r="A106" s="18" t="s">
        <v>239</v>
      </c>
      <c r="B106" s="4">
        <v>45541</v>
      </c>
      <c r="C106" s="1" t="s">
        <v>138</v>
      </c>
      <c r="D106" s="1" t="s">
        <v>139</v>
      </c>
      <c r="E106" s="1" t="s">
        <v>31</v>
      </c>
      <c r="F106" s="1" t="s">
        <v>32</v>
      </c>
      <c r="G106" s="1" t="s">
        <v>33</v>
      </c>
      <c r="H106" s="5">
        <v>3</v>
      </c>
      <c r="I106" s="5">
        <v>59.99</v>
      </c>
      <c r="J106" s="1" t="s">
        <v>26</v>
      </c>
      <c r="K106" s="1" t="s">
        <v>21</v>
      </c>
      <c r="L106" s="1" t="s">
        <v>27</v>
      </c>
      <c r="M106" s="4">
        <v>44717</v>
      </c>
      <c r="N106" s="19">
        <v>179.97</v>
      </c>
      <c r="O106" s="1">
        <f>MONTH(Table1[[#This Row],[Customer_Since]])</f>
        <v>6</v>
      </c>
      <c r="P106" s="1">
        <f>YEAR(Table1[[#This Row],[Customer_Since]])</f>
        <v>2022</v>
      </c>
      <c r="Q106" s="1"/>
      <c r="R106" s="1"/>
      <c r="S106" s="1"/>
      <c r="T106" s="1"/>
      <c r="U106" s="1"/>
      <c r="V106" s="1"/>
      <c r="W106" s="1"/>
      <c r="X106" s="1"/>
      <c r="Y106" s="1"/>
      <c r="Z106" s="1"/>
    </row>
    <row r="107" spans="1:26" ht="15" thickBot="1" x14ac:dyDescent="0.35">
      <c r="A107" s="18" t="s">
        <v>240</v>
      </c>
      <c r="B107" s="4">
        <v>45544</v>
      </c>
      <c r="C107" s="1" t="s">
        <v>132</v>
      </c>
      <c r="D107" s="1" t="s">
        <v>133</v>
      </c>
      <c r="E107" s="1" t="s">
        <v>31</v>
      </c>
      <c r="F107" s="1" t="s">
        <v>32</v>
      </c>
      <c r="G107" s="1" t="s">
        <v>33</v>
      </c>
      <c r="H107" s="5">
        <v>3</v>
      </c>
      <c r="I107" s="5">
        <v>59.99</v>
      </c>
      <c r="J107" s="1" t="s">
        <v>34</v>
      </c>
      <c r="K107" s="1" t="s">
        <v>63</v>
      </c>
      <c r="L107" s="1" t="s">
        <v>36</v>
      </c>
      <c r="M107" s="4">
        <v>44748</v>
      </c>
      <c r="N107" s="19">
        <v>179.97</v>
      </c>
      <c r="O107" s="1">
        <f>MONTH(Table1[[#This Row],[Customer_Since]])</f>
        <v>7</v>
      </c>
      <c r="P107" s="1">
        <f>YEAR(Table1[[#This Row],[Customer_Since]])</f>
        <v>2022</v>
      </c>
      <c r="Q107" s="1"/>
      <c r="R107" s="1"/>
      <c r="S107" s="1"/>
      <c r="T107" s="1"/>
      <c r="U107" s="1"/>
      <c r="V107" s="1"/>
      <c r="W107" s="1"/>
      <c r="X107" s="1"/>
      <c r="Y107" s="1"/>
      <c r="Z107" s="1"/>
    </row>
    <row r="108" spans="1:26" ht="15" thickBot="1" x14ac:dyDescent="0.35">
      <c r="A108" s="18" t="s">
        <v>241</v>
      </c>
      <c r="B108" s="4">
        <v>45544</v>
      </c>
      <c r="C108" s="1" t="s">
        <v>141</v>
      </c>
      <c r="D108" s="1" t="s">
        <v>142</v>
      </c>
      <c r="E108" s="1" t="s">
        <v>114</v>
      </c>
      <c r="F108" s="1" t="s">
        <v>115</v>
      </c>
      <c r="G108" s="1" t="s">
        <v>33</v>
      </c>
      <c r="H108" s="5">
        <v>4</v>
      </c>
      <c r="I108" s="5">
        <v>79.989999999999995</v>
      </c>
      <c r="J108" s="1" t="s">
        <v>20</v>
      </c>
      <c r="K108" s="1" t="s">
        <v>40</v>
      </c>
      <c r="L108" s="1" t="s">
        <v>22</v>
      </c>
      <c r="M108" s="4">
        <v>44530</v>
      </c>
      <c r="N108" s="19">
        <v>319.95999999999998</v>
      </c>
      <c r="O108" s="1">
        <f>MONTH(Table1[[#This Row],[Customer_Since]])</f>
        <v>11</v>
      </c>
      <c r="P108" s="1">
        <f>YEAR(Table1[[#This Row],[Customer_Since]])</f>
        <v>2021</v>
      </c>
      <c r="Q108" s="1"/>
      <c r="R108" s="1"/>
      <c r="S108" s="1"/>
      <c r="T108" s="1"/>
      <c r="U108" s="1"/>
      <c r="V108" s="1"/>
      <c r="W108" s="1"/>
      <c r="X108" s="1"/>
      <c r="Y108" s="1"/>
      <c r="Z108" s="1"/>
    </row>
    <row r="109" spans="1:26" ht="15" thickBot="1" x14ac:dyDescent="0.35">
      <c r="A109" s="18" t="s">
        <v>242</v>
      </c>
      <c r="B109" s="4">
        <v>45545</v>
      </c>
      <c r="C109" s="1" t="s">
        <v>55</v>
      </c>
      <c r="D109" s="1" t="s">
        <v>56</v>
      </c>
      <c r="E109" s="1" t="s">
        <v>114</v>
      </c>
      <c r="F109" s="1" t="s">
        <v>115</v>
      </c>
      <c r="G109" s="1" t="s">
        <v>33</v>
      </c>
      <c r="H109" s="5">
        <v>1</v>
      </c>
      <c r="I109" s="5">
        <v>79.989999999999995</v>
      </c>
      <c r="J109" s="1" t="s">
        <v>20</v>
      </c>
      <c r="K109" s="1" t="s">
        <v>50</v>
      </c>
      <c r="L109" s="1" t="s">
        <v>22</v>
      </c>
      <c r="M109" s="4">
        <v>44693</v>
      </c>
      <c r="N109" s="19">
        <v>79.989999999999995</v>
      </c>
      <c r="O109" s="1">
        <f>MONTH(Table1[[#This Row],[Customer_Since]])</f>
        <v>5</v>
      </c>
      <c r="P109" s="1">
        <f>YEAR(Table1[[#This Row],[Customer_Since]])</f>
        <v>2022</v>
      </c>
      <c r="Q109" s="1"/>
      <c r="R109" s="1"/>
      <c r="S109" s="1"/>
      <c r="T109" s="1"/>
      <c r="U109" s="1"/>
      <c r="V109" s="1"/>
      <c r="W109" s="1"/>
      <c r="X109" s="1"/>
      <c r="Y109" s="1"/>
      <c r="Z109" s="1"/>
    </row>
    <row r="110" spans="1:26" ht="15" thickBot="1" x14ac:dyDescent="0.35">
      <c r="A110" s="18" t="s">
        <v>243</v>
      </c>
      <c r="B110" s="4">
        <v>45547</v>
      </c>
      <c r="C110" s="1" t="s">
        <v>48</v>
      </c>
      <c r="D110" s="1" t="s">
        <v>49</v>
      </c>
      <c r="E110" s="1" t="s">
        <v>105</v>
      </c>
      <c r="F110" s="1" t="s">
        <v>106</v>
      </c>
      <c r="G110" s="1" t="s">
        <v>46</v>
      </c>
      <c r="H110" s="5">
        <v>3</v>
      </c>
      <c r="I110" s="5">
        <v>299.99</v>
      </c>
      <c r="J110" s="1" t="s">
        <v>26</v>
      </c>
      <c r="K110" s="1" t="s">
        <v>21</v>
      </c>
      <c r="L110" s="1" t="s">
        <v>27</v>
      </c>
      <c r="M110" s="4">
        <v>44494</v>
      </c>
      <c r="N110" s="19">
        <v>899.97</v>
      </c>
      <c r="O110" s="1">
        <f>MONTH(Table1[[#This Row],[Customer_Since]])</f>
        <v>10</v>
      </c>
      <c r="P110" s="1">
        <f>YEAR(Table1[[#This Row],[Customer_Since]])</f>
        <v>2021</v>
      </c>
      <c r="Q110" s="1"/>
      <c r="R110" s="1"/>
      <c r="S110" s="1"/>
      <c r="T110" s="1"/>
      <c r="U110" s="1"/>
      <c r="V110" s="1"/>
      <c r="W110" s="1"/>
      <c r="X110" s="1"/>
      <c r="Y110" s="1"/>
      <c r="Z110" s="1"/>
    </row>
    <row r="111" spans="1:26" ht="15" thickBot="1" x14ac:dyDescent="0.35">
      <c r="A111" s="18" t="s">
        <v>244</v>
      </c>
      <c r="B111" s="4">
        <v>45548</v>
      </c>
      <c r="C111" s="1" t="s">
        <v>38</v>
      </c>
      <c r="D111" s="1" t="s">
        <v>39</v>
      </c>
      <c r="E111" s="1" t="s">
        <v>117</v>
      </c>
      <c r="F111" s="1" t="s">
        <v>118</v>
      </c>
      <c r="G111" s="1" t="s">
        <v>19</v>
      </c>
      <c r="H111" s="5">
        <v>2</v>
      </c>
      <c r="I111" s="5">
        <v>89.99</v>
      </c>
      <c r="J111" s="1" t="s">
        <v>26</v>
      </c>
      <c r="K111" s="1" t="s">
        <v>35</v>
      </c>
      <c r="L111" s="1" t="s">
        <v>27</v>
      </c>
      <c r="M111" s="4">
        <v>44641</v>
      </c>
      <c r="N111" s="19">
        <v>179.98</v>
      </c>
      <c r="O111" s="1">
        <f>MONTH(Table1[[#This Row],[Customer_Since]])</f>
        <v>3</v>
      </c>
      <c r="P111" s="1">
        <f>YEAR(Table1[[#This Row],[Customer_Since]])</f>
        <v>2022</v>
      </c>
      <c r="Q111" s="1"/>
      <c r="R111" s="1"/>
      <c r="S111" s="1"/>
      <c r="T111" s="1"/>
      <c r="U111" s="1"/>
      <c r="V111" s="1"/>
      <c r="W111" s="1"/>
      <c r="X111" s="1"/>
      <c r="Y111" s="1"/>
      <c r="Z111" s="1"/>
    </row>
    <row r="112" spans="1:26" ht="15" thickBot="1" x14ac:dyDescent="0.35">
      <c r="A112" s="18" t="s">
        <v>245</v>
      </c>
      <c r="B112" s="4">
        <v>45550</v>
      </c>
      <c r="C112" s="1" t="s">
        <v>246</v>
      </c>
      <c r="D112" s="1" t="s">
        <v>247</v>
      </c>
      <c r="E112" s="1" t="s">
        <v>52</v>
      </c>
      <c r="F112" s="1" t="s">
        <v>53</v>
      </c>
      <c r="G112" s="1" t="s">
        <v>19</v>
      </c>
      <c r="H112" s="5">
        <v>4</v>
      </c>
      <c r="I112" s="5">
        <v>149.99</v>
      </c>
      <c r="J112" s="1" t="s">
        <v>20</v>
      </c>
      <c r="K112" s="1" t="s">
        <v>40</v>
      </c>
      <c r="L112" s="1" t="s">
        <v>22</v>
      </c>
      <c r="M112" s="4">
        <v>44909</v>
      </c>
      <c r="N112" s="19">
        <v>599.96</v>
      </c>
      <c r="O112" s="1">
        <f>MONTH(Table1[[#This Row],[Customer_Since]])</f>
        <v>12</v>
      </c>
      <c r="P112" s="1">
        <f>YEAR(Table1[[#This Row],[Customer_Since]])</f>
        <v>2022</v>
      </c>
      <c r="Q112" s="1"/>
      <c r="R112" s="1"/>
      <c r="S112" s="1"/>
      <c r="T112" s="1"/>
      <c r="U112" s="1"/>
      <c r="V112" s="1"/>
      <c r="W112" s="1"/>
      <c r="X112" s="1"/>
      <c r="Y112" s="1"/>
      <c r="Z112" s="1"/>
    </row>
    <row r="113" spans="1:26" ht="15" thickBot="1" x14ac:dyDescent="0.35">
      <c r="A113" s="18" t="s">
        <v>248</v>
      </c>
      <c r="B113" s="4">
        <v>45551</v>
      </c>
      <c r="C113" s="1" t="s">
        <v>65</v>
      </c>
      <c r="D113" s="1" t="s">
        <v>66</v>
      </c>
      <c r="E113" s="1" t="s">
        <v>17</v>
      </c>
      <c r="F113" s="1" t="s">
        <v>18</v>
      </c>
      <c r="G113" s="1" t="s">
        <v>19</v>
      </c>
      <c r="H113" s="5">
        <v>2</v>
      </c>
      <c r="I113" s="5">
        <v>249.99</v>
      </c>
      <c r="J113" s="1" t="s">
        <v>34</v>
      </c>
      <c r="K113" s="1" t="s">
        <v>35</v>
      </c>
      <c r="L113" s="1" t="s">
        <v>22</v>
      </c>
      <c r="M113" s="4">
        <v>44993</v>
      </c>
      <c r="N113" s="19">
        <v>499.98</v>
      </c>
      <c r="O113" s="1">
        <f>MONTH(Table1[[#This Row],[Customer_Since]])</f>
        <v>3</v>
      </c>
      <c r="P113" s="1">
        <f>YEAR(Table1[[#This Row],[Customer_Since]])</f>
        <v>2023</v>
      </c>
      <c r="Q113" s="1"/>
      <c r="R113" s="1"/>
      <c r="S113" s="1"/>
      <c r="T113" s="1"/>
      <c r="U113" s="1"/>
      <c r="V113" s="1"/>
      <c r="W113" s="1"/>
      <c r="X113" s="1"/>
      <c r="Y113" s="1"/>
      <c r="Z113" s="1"/>
    </row>
    <row r="114" spans="1:26" ht="15" thickBot="1" x14ac:dyDescent="0.35">
      <c r="A114" s="18" t="s">
        <v>249</v>
      </c>
      <c r="B114" s="4">
        <v>45551</v>
      </c>
      <c r="C114" s="1" t="s">
        <v>154</v>
      </c>
      <c r="D114" s="1" t="s">
        <v>155</v>
      </c>
      <c r="E114" s="1" t="s">
        <v>126</v>
      </c>
      <c r="F114" s="1" t="s">
        <v>127</v>
      </c>
      <c r="G114" s="1" t="s">
        <v>46</v>
      </c>
      <c r="H114" s="5">
        <v>4</v>
      </c>
      <c r="I114" s="5">
        <v>199.99</v>
      </c>
      <c r="J114" s="1" t="s">
        <v>57</v>
      </c>
      <c r="K114" s="1" t="s">
        <v>63</v>
      </c>
      <c r="L114" s="1" t="s">
        <v>22</v>
      </c>
      <c r="M114" s="4">
        <v>44458</v>
      </c>
      <c r="N114" s="19">
        <v>799.96</v>
      </c>
      <c r="O114" s="1">
        <f>MONTH(Table1[[#This Row],[Customer_Since]])</f>
        <v>9</v>
      </c>
      <c r="P114" s="1">
        <f>YEAR(Table1[[#This Row],[Customer_Since]])</f>
        <v>2021</v>
      </c>
      <c r="Q114" s="1"/>
      <c r="R114" s="1"/>
      <c r="S114" s="1"/>
      <c r="T114" s="1"/>
      <c r="U114" s="1"/>
      <c r="V114" s="1"/>
      <c r="W114" s="1"/>
      <c r="X114" s="1"/>
      <c r="Y114" s="1"/>
      <c r="Z114" s="1"/>
    </row>
    <row r="115" spans="1:26" ht="15" thickBot="1" x14ac:dyDescent="0.35">
      <c r="A115" s="18" t="s">
        <v>250</v>
      </c>
      <c r="B115" s="4">
        <v>45554</v>
      </c>
      <c r="C115" s="1" t="s">
        <v>147</v>
      </c>
      <c r="D115" s="1" t="s">
        <v>148</v>
      </c>
      <c r="E115" s="1" t="s">
        <v>117</v>
      </c>
      <c r="F115" s="1" t="s">
        <v>118</v>
      </c>
      <c r="G115" s="1" t="s">
        <v>19</v>
      </c>
      <c r="H115" s="5">
        <v>5</v>
      </c>
      <c r="I115" s="5">
        <v>89.99</v>
      </c>
      <c r="J115" s="1" t="s">
        <v>26</v>
      </c>
      <c r="K115" s="1" t="s">
        <v>63</v>
      </c>
      <c r="L115" s="1" t="s">
        <v>27</v>
      </c>
      <c r="M115" s="4">
        <v>44446</v>
      </c>
      <c r="N115" s="19">
        <v>449.95</v>
      </c>
      <c r="O115" s="1">
        <f>MONTH(Table1[[#This Row],[Customer_Since]])</f>
        <v>9</v>
      </c>
      <c r="P115" s="1">
        <f>YEAR(Table1[[#This Row],[Customer_Since]])</f>
        <v>2021</v>
      </c>
      <c r="Q115" s="1"/>
      <c r="R115" s="1"/>
      <c r="S115" s="1"/>
      <c r="T115" s="1"/>
      <c r="U115" s="1"/>
      <c r="V115" s="1"/>
      <c r="W115" s="1"/>
      <c r="X115" s="1"/>
      <c r="Y115" s="1"/>
      <c r="Z115" s="1"/>
    </row>
    <row r="116" spans="1:26" ht="15" thickBot="1" x14ac:dyDescent="0.35">
      <c r="A116" s="18" t="s">
        <v>251</v>
      </c>
      <c r="B116" s="4">
        <v>45554</v>
      </c>
      <c r="C116" s="1" t="s">
        <v>252</v>
      </c>
      <c r="D116" s="1" t="s">
        <v>253</v>
      </c>
      <c r="E116" s="1" t="s">
        <v>52</v>
      </c>
      <c r="F116" s="1" t="s">
        <v>53</v>
      </c>
      <c r="G116" s="1" t="s">
        <v>19</v>
      </c>
      <c r="H116" s="5">
        <v>1</v>
      </c>
      <c r="I116" s="5">
        <v>149.99</v>
      </c>
      <c r="J116" s="1" t="s">
        <v>34</v>
      </c>
      <c r="K116" s="1" t="s">
        <v>63</v>
      </c>
      <c r="L116" s="1" t="s">
        <v>36</v>
      </c>
      <c r="M116" s="4">
        <v>44482</v>
      </c>
      <c r="N116" s="19">
        <v>149.99</v>
      </c>
      <c r="O116" s="1">
        <f>MONTH(Table1[[#This Row],[Customer_Since]])</f>
        <v>10</v>
      </c>
      <c r="P116" s="1">
        <f>YEAR(Table1[[#This Row],[Customer_Since]])</f>
        <v>2021</v>
      </c>
      <c r="Q116" s="1"/>
      <c r="R116" s="1"/>
      <c r="S116" s="1"/>
      <c r="T116" s="1"/>
      <c r="U116" s="1"/>
      <c r="V116" s="1"/>
      <c r="W116" s="1"/>
      <c r="X116" s="1"/>
      <c r="Y116" s="1"/>
      <c r="Z116" s="1"/>
    </row>
    <row r="117" spans="1:26" ht="15" thickBot="1" x14ac:dyDescent="0.35">
      <c r="A117" s="18" t="s">
        <v>254</v>
      </c>
      <c r="B117" s="4">
        <v>45554</v>
      </c>
      <c r="C117" s="1" t="s">
        <v>72</v>
      </c>
      <c r="D117" s="1" t="s">
        <v>73</v>
      </c>
      <c r="E117" s="1" t="s">
        <v>80</v>
      </c>
      <c r="F117" s="1" t="s">
        <v>81</v>
      </c>
      <c r="G117" s="1" t="s">
        <v>19</v>
      </c>
      <c r="H117" s="5">
        <v>4</v>
      </c>
      <c r="I117" s="5">
        <v>699.99</v>
      </c>
      <c r="J117" s="1" t="s">
        <v>34</v>
      </c>
      <c r="K117" s="1" t="s">
        <v>35</v>
      </c>
      <c r="L117" s="1" t="s">
        <v>22</v>
      </c>
      <c r="M117" s="4">
        <v>44618</v>
      </c>
      <c r="N117" s="19">
        <v>2799.96</v>
      </c>
      <c r="O117" s="1">
        <f>MONTH(Table1[[#This Row],[Customer_Since]])</f>
        <v>2</v>
      </c>
      <c r="P117" s="1">
        <f>YEAR(Table1[[#This Row],[Customer_Since]])</f>
        <v>2022</v>
      </c>
      <c r="Q117" s="1"/>
      <c r="R117" s="1"/>
      <c r="S117" s="1"/>
      <c r="T117" s="1"/>
      <c r="U117" s="1"/>
      <c r="V117" s="1"/>
      <c r="W117" s="1"/>
      <c r="X117" s="1"/>
      <c r="Y117" s="1"/>
      <c r="Z117" s="1"/>
    </row>
    <row r="118" spans="1:26" ht="15" thickBot="1" x14ac:dyDescent="0.35">
      <c r="A118" s="18" t="s">
        <v>255</v>
      </c>
      <c r="B118" s="4">
        <v>45559</v>
      </c>
      <c r="C118" s="1" t="s">
        <v>234</v>
      </c>
      <c r="D118" s="1" t="s">
        <v>235</v>
      </c>
      <c r="E118" s="1" t="s">
        <v>61</v>
      </c>
      <c r="F118" s="1" t="s">
        <v>62</v>
      </c>
      <c r="G118" s="1" t="s">
        <v>19</v>
      </c>
      <c r="H118" s="5">
        <v>3</v>
      </c>
      <c r="I118" s="5">
        <v>899.99</v>
      </c>
      <c r="J118" s="1" t="s">
        <v>26</v>
      </c>
      <c r="K118" s="1" t="s">
        <v>40</v>
      </c>
      <c r="L118" s="1" t="s">
        <v>36</v>
      </c>
      <c r="M118" s="4">
        <v>45157</v>
      </c>
      <c r="N118" s="19">
        <v>2699.97</v>
      </c>
      <c r="O118" s="1">
        <f>MONTH(Table1[[#This Row],[Customer_Since]])</f>
        <v>8</v>
      </c>
      <c r="P118" s="1">
        <f>YEAR(Table1[[#This Row],[Customer_Since]])</f>
        <v>2023</v>
      </c>
      <c r="Q118" s="1"/>
      <c r="R118" s="1"/>
      <c r="S118" s="1"/>
      <c r="T118" s="1"/>
      <c r="U118" s="1"/>
      <c r="V118" s="1"/>
      <c r="W118" s="1"/>
      <c r="X118" s="1"/>
      <c r="Y118" s="1"/>
      <c r="Z118" s="1"/>
    </row>
    <row r="119" spans="1:26" ht="15" thickBot="1" x14ac:dyDescent="0.35">
      <c r="A119" s="18" t="s">
        <v>256</v>
      </c>
      <c r="B119" s="4">
        <v>45560</v>
      </c>
      <c r="C119" s="1" t="s">
        <v>112</v>
      </c>
      <c r="D119" s="1" t="s">
        <v>113</v>
      </c>
      <c r="E119" s="1" t="s">
        <v>44</v>
      </c>
      <c r="F119" s="1" t="s">
        <v>45</v>
      </c>
      <c r="G119" s="1" t="s">
        <v>46</v>
      </c>
      <c r="H119" s="5">
        <v>3</v>
      </c>
      <c r="I119" s="5">
        <v>149.99</v>
      </c>
      <c r="J119" s="1" t="s">
        <v>34</v>
      </c>
      <c r="K119" s="1" t="s">
        <v>63</v>
      </c>
      <c r="L119" s="1" t="s">
        <v>22</v>
      </c>
      <c r="M119" s="4">
        <v>44886</v>
      </c>
      <c r="N119" s="19">
        <v>449.97</v>
      </c>
      <c r="O119" s="1">
        <f>MONTH(Table1[[#This Row],[Customer_Since]])</f>
        <v>11</v>
      </c>
      <c r="P119" s="1">
        <f>YEAR(Table1[[#This Row],[Customer_Since]])</f>
        <v>2022</v>
      </c>
      <c r="Q119" s="1"/>
      <c r="R119" s="1"/>
      <c r="S119" s="1"/>
      <c r="T119" s="1"/>
      <c r="U119" s="1"/>
      <c r="V119" s="1"/>
      <c r="W119" s="1"/>
      <c r="X119" s="1"/>
      <c r="Y119" s="1"/>
      <c r="Z119" s="1"/>
    </row>
    <row r="120" spans="1:26" ht="15" thickBot="1" x14ac:dyDescent="0.35">
      <c r="A120" s="18" t="s">
        <v>257</v>
      </c>
      <c r="B120" s="4">
        <v>45563</v>
      </c>
      <c r="C120" s="1" t="s">
        <v>99</v>
      </c>
      <c r="D120" s="1" t="s">
        <v>100</v>
      </c>
      <c r="E120" s="1" t="s">
        <v>105</v>
      </c>
      <c r="F120" s="1" t="s">
        <v>106</v>
      </c>
      <c r="G120" s="1" t="s">
        <v>46</v>
      </c>
      <c r="H120" s="5">
        <v>2</v>
      </c>
      <c r="I120" s="5">
        <v>299.99</v>
      </c>
      <c r="J120" s="1" t="s">
        <v>57</v>
      </c>
      <c r="K120" s="1" t="s">
        <v>21</v>
      </c>
      <c r="L120" s="1" t="s">
        <v>22</v>
      </c>
      <c r="M120" s="4">
        <v>44569</v>
      </c>
      <c r="N120" s="19">
        <v>599.98</v>
      </c>
      <c r="O120" s="1">
        <f>MONTH(Table1[[#This Row],[Customer_Since]])</f>
        <v>1</v>
      </c>
      <c r="P120" s="1">
        <f>YEAR(Table1[[#This Row],[Customer_Since]])</f>
        <v>2022</v>
      </c>
      <c r="Q120" s="1"/>
      <c r="R120" s="1"/>
      <c r="S120" s="1"/>
      <c r="T120" s="1"/>
      <c r="U120" s="1"/>
      <c r="V120" s="1"/>
      <c r="W120" s="1"/>
      <c r="X120" s="1"/>
      <c r="Y120" s="1"/>
      <c r="Z120" s="1"/>
    </row>
    <row r="121" spans="1:26" ht="15" thickBot="1" x14ac:dyDescent="0.35">
      <c r="A121" s="18" t="s">
        <v>258</v>
      </c>
      <c r="B121" s="4">
        <v>45564</v>
      </c>
      <c r="C121" s="1" t="s">
        <v>259</v>
      </c>
      <c r="D121" s="1" t="s">
        <v>260</v>
      </c>
      <c r="E121" s="1" t="s">
        <v>126</v>
      </c>
      <c r="F121" s="1" t="s">
        <v>127</v>
      </c>
      <c r="G121" s="1" t="s">
        <v>46</v>
      </c>
      <c r="H121" s="5">
        <v>1</v>
      </c>
      <c r="I121" s="5">
        <v>199.99</v>
      </c>
      <c r="J121" s="1" t="s">
        <v>57</v>
      </c>
      <c r="K121" s="1" t="s">
        <v>63</v>
      </c>
      <c r="L121" s="1" t="s">
        <v>36</v>
      </c>
      <c r="M121" s="4">
        <v>44953</v>
      </c>
      <c r="N121" s="19">
        <v>199.99</v>
      </c>
      <c r="O121" s="1">
        <f>MONTH(Table1[[#This Row],[Customer_Since]])</f>
        <v>1</v>
      </c>
      <c r="P121" s="1">
        <f>YEAR(Table1[[#This Row],[Customer_Since]])</f>
        <v>2023</v>
      </c>
      <c r="Q121" s="1"/>
      <c r="R121" s="1"/>
      <c r="S121" s="1"/>
      <c r="T121" s="1"/>
      <c r="U121" s="1"/>
      <c r="V121" s="1"/>
      <c r="W121" s="1"/>
      <c r="X121" s="1"/>
      <c r="Y121" s="1"/>
      <c r="Z121" s="1"/>
    </row>
    <row r="122" spans="1:26" ht="15" thickBot="1" x14ac:dyDescent="0.35">
      <c r="A122" s="18" t="s">
        <v>261</v>
      </c>
      <c r="B122" s="4">
        <v>45566</v>
      </c>
      <c r="C122" s="1" t="s">
        <v>42</v>
      </c>
      <c r="D122" s="1" t="s">
        <v>43</v>
      </c>
      <c r="E122" s="1" t="s">
        <v>105</v>
      </c>
      <c r="F122" s="1" t="s">
        <v>106</v>
      </c>
      <c r="G122" s="1" t="s">
        <v>46</v>
      </c>
      <c r="H122" s="5">
        <v>4</v>
      </c>
      <c r="I122" s="5">
        <v>299.99</v>
      </c>
      <c r="J122" s="1" t="s">
        <v>20</v>
      </c>
      <c r="K122" s="1" t="s">
        <v>21</v>
      </c>
      <c r="L122" s="1" t="s">
        <v>27</v>
      </c>
      <c r="M122" s="4">
        <v>44460</v>
      </c>
      <c r="N122" s="19">
        <v>1199.96</v>
      </c>
      <c r="O122" s="1">
        <f>MONTH(Table1[[#This Row],[Customer_Since]])</f>
        <v>9</v>
      </c>
      <c r="P122" s="1">
        <f>YEAR(Table1[[#This Row],[Customer_Since]])</f>
        <v>2021</v>
      </c>
      <c r="Q122" s="1"/>
      <c r="R122" s="1"/>
      <c r="S122" s="1"/>
      <c r="T122" s="1"/>
      <c r="U122" s="1"/>
      <c r="V122" s="1"/>
      <c r="W122" s="1"/>
      <c r="X122" s="1"/>
      <c r="Y122" s="1"/>
      <c r="Z122" s="1"/>
    </row>
    <row r="123" spans="1:26" ht="15" thickBot="1" x14ac:dyDescent="0.35">
      <c r="A123" s="18" t="s">
        <v>262</v>
      </c>
      <c r="B123" s="4">
        <v>45572</v>
      </c>
      <c r="C123" s="1" t="s">
        <v>89</v>
      </c>
      <c r="D123" s="1" t="s">
        <v>90</v>
      </c>
      <c r="E123" s="1" t="s">
        <v>31</v>
      </c>
      <c r="F123" s="1" t="s">
        <v>32</v>
      </c>
      <c r="G123" s="1" t="s">
        <v>33</v>
      </c>
      <c r="H123" s="5">
        <v>2</v>
      </c>
      <c r="I123" s="5">
        <v>59.99</v>
      </c>
      <c r="J123" s="1" t="s">
        <v>26</v>
      </c>
      <c r="K123" s="1" t="s">
        <v>21</v>
      </c>
      <c r="L123" s="1" t="s">
        <v>22</v>
      </c>
      <c r="M123" s="4">
        <v>44579</v>
      </c>
      <c r="N123" s="19">
        <v>119.98</v>
      </c>
      <c r="O123" s="1">
        <f>MONTH(Table1[[#This Row],[Customer_Since]])</f>
        <v>1</v>
      </c>
      <c r="P123" s="1">
        <f>YEAR(Table1[[#This Row],[Customer_Since]])</f>
        <v>2022</v>
      </c>
      <c r="Q123" s="1"/>
      <c r="R123" s="1"/>
      <c r="S123" s="1"/>
      <c r="T123" s="1"/>
      <c r="U123" s="1"/>
      <c r="V123" s="1"/>
      <c r="W123" s="1"/>
      <c r="X123" s="1"/>
      <c r="Y123" s="1"/>
      <c r="Z123" s="1"/>
    </row>
    <row r="124" spans="1:26" ht="15" thickBot="1" x14ac:dyDescent="0.35">
      <c r="A124" s="18" t="s">
        <v>263</v>
      </c>
      <c r="B124" s="4">
        <v>45572</v>
      </c>
      <c r="C124" s="1" t="s">
        <v>234</v>
      </c>
      <c r="D124" s="1" t="s">
        <v>235</v>
      </c>
      <c r="E124" s="1" t="s">
        <v>52</v>
      </c>
      <c r="F124" s="1" t="s">
        <v>53</v>
      </c>
      <c r="G124" s="1" t="s">
        <v>19</v>
      </c>
      <c r="H124" s="5">
        <v>4</v>
      </c>
      <c r="I124" s="5">
        <v>149.99</v>
      </c>
      <c r="J124" s="1" t="s">
        <v>26</v>
      </c>
      <c r="K124" s="1" t="s">
        <v>40</v>
      </c>
      <c r="L124" s="1" t="s">
        <v>27</v>
      </c>
      <c r="M124" s="4">
        <v>45076</v>
      </c>
      <c r="N124" s="19">
        <v>599.96</v>
      </c>
      <c r="O124" s="1">
        <f>MONTH(Table1[[#This Row],[Customer_Since]])</f>
        <v>5</v>
      </c>
      <c r="P124" s="1">
        <f>YEAR(Table1[[#This Row],[Customer_Since]])</f>
        <v>2023</v>
      </c>
      <c r="Q124" s="1"/>
      <c r="R124" s="1"/>
      <c r="S124" s="1"/>
      <c r="T124" s="1"/>
      <c r="U124" s="1"/>
      <c r="V124" s="1"/>
      <c r="W124" s="1"/>
      <c r="X124" s="1"/>
      <c r="Y124" s="1"/>
      <c r="Z124" s="1"/>
    </row>
    <row r="125" spans="1:26" ht="15" thickBot="1" x14ac:dyDescent="0.35">
      <c r="A125" s="18" t="s">
        <v>264</v>
      </c>
      <c r="B125" s="4">
        <v>45573</v>
      </c>
      <c r="C125" s="1" t="s">
        <v>211</v>
      </c>
      <c r="D125" s="1" t="s">
        <v>212</v>
      </c>
      <c r="E125" s="1" t="s">
        <v>80</v>
      </c>
      <c r="F125" s="1" t="s">
        <v>81</v>
      </c>
      <c r="G125" s="1" t="s">
        <v>19</v>
      </c>
      <c r="H125" s="5">
        <v>2</v>
      </c>
      <c r="I125" s="5">
        <v>699.99</v>
      </c>
      <c r="J125" s="1" t="s">
        <v>57</v>
      </c>
      <c r="K125" s="1" t="s">
        <v>63</v>
      </c>
      <c r="L125" s="1" t="s">
        <v>27</v>
      </c>
      <c r="M125" s="4">
        <v>45274</v>
      </c>
      <c r="N125" s="19">
        <v>1399.98</v>
      </c>
      <c r="O125" s="1">
        <f>MONTH(Table1[[#This Row],[Customer_Since]])</f>
        <v>12</v>
      </c>
      <c r="P125" s="1">
        <f>YEAR(Table1[[#This Row],[Customer_Since]])</f>
        <v>2023</v>
      </c>
      <c r="Q125" s="1"/>
      <c r="R125" s="1"/>
      <c r="S125" s="1"/>
      <c r="T125" s="1"/>
      <c r="U125" s="1"/>
      <c r="V125" s="1"/>
      <c r="W125" s="1"/>
      <c r="X125" s="1"/>
      <c r="Y125" s="1"/>
      <c r="Z125" s="1"/>
    </row>
    <row r="126" spans="1:26" ht="15" thickBot="1" x14ac:dyDescent="0.35">
      <c r="A126" s="18" t="s">
        <v>265</v>
      </c>
      <c r="B126" s="4">
        <v>45573</v>
      </c>
      <c r="C126" s="1" t="s">
        <v>231</v>
      </c>
      <c r="D126" s="1" t="s">
        <v>232</v>
      </c>
      <c r="E126" s="1" t="s">
        <v>44</v>
      </c>
      <c r="F126" s="1" t="s">
        <v>45</v>
      </c>
      <c r="G126" s="1" t="s">
        <v>46</v>
      </c>
      <c r="H126" s="5">
        <v>3</v>
      </c>
      <c r="I126" s="5">
        <v>149.99</v>
      </c>
      <c r="J126" s="1" t="s">
        <v>26</v>
      </c>
      <c r="K126" s="1" t="s">
        <v>35</v>
      </c>
      <c r="L126" s="1" t="s">
        <v>36</v>
      </c>
      <c r="M126" s="4">
        <v>44940</v>
      </c>
      <c r="N126" s="19">
        <v>449.97</v>
      </c>
      <c r="O126" s="1">
        <f>MONTH(Table1[[#This Row],[Customer_Since]])</f>
        <v>1</v>
      </c>
      <c r="P126" s="1">
        <f>YEAR(Table1[[#This Row],[Customer_Since]])</f>
        <v>2023</v>
      </c>
      <c r="Q126" s="1"/>
      <c r="R126" s="1"/>
      <c r="S126" s="1"/>
      <c r="T126" s="1"/>
      <c r="U126" s="1"/>
      <c r="V126" s="1"/>
      <c r="W126" s="1"/>
      <c r="X126" s="1"/>
      <c r="Y126" s="1"/>
      <c r="Z126" s="1"/>
    </row>
    <row r="127" spans="1:26" ht="15" thickBot="1" x14ac:dyDescent="0.35">
      <c r="A127" s="18" t="s">
        <v>266</v>
      </c>
      <c r="B127" s="4">
        <v>45576</v>
      </c>
      <c r="C127" s="1" t="s">
        <v>147</v>
      </c>
      <c r="D127" s="1" t="s">
        <v>148</v>
      </c>
      <c r="E127" s="1" t="s">
        <v>105</v>
      </c>
      <c r="F127" s="1" t="s">
        <v>106</v>
      </c>
      <c r="G127" s="1" t="s">
        <v>46</v>
      </c>
      <c r="H127" s="5">
        <v>3</v>
      </c>
      <c r="I127" s="5">
        <v>299.99</v>
      </c>
      <c r="J127" s="1" t="s">
        <v>26</v>
      </c>
      <c r="K127" s="1" t="s">
        <v>21</v>
      </c>
      <c r="L127" s="1" t="s">
        <v>36</v>
      </c>
      <c r="M127" s="4">
        <v>45174</v>
      </c>
      <c r="N127" s="19">
        <v>899.97</v>
      </c>
      <c r="O127" s="1">
        <f>MONTH(Table1[[#This Row],[Customer_Since]])</f>
        <v>9</v>
      </c>
      <c r="P127" s="1">
        <f>YEAR(Table1[[#This Row],[Customer_Since]])</f>
        <v>2023</v>
      </c>
      <c r="Q127" s="1"/>
      <c r="R127" s="1"/>
      <c r="S127" s="1"/>
      <c r="T127" s="1"/>
      <c r="U127" s="1"/>
      <c r="V127" s="1"/>
      <c r="W127" s="1"/>
      <c r="X127" s="1"/>
      <c r="Y127" s="1"/>
      <c r="Z127" s="1"/>
    </row>
    <row r="128" spans="1:26" ht="15" thickBot="1" x14ac:dyDescent="0.35">
      <c r="A128" s="18" t="s">
        <v>267</v>
      </c>
      <c r="B128" s="4">
        <v>45579</v>
      </c>
      <c r="C128" s="1" t="s">
        <v>83</v>
      </c>
      <c r="D128" s="1" t="s">
        <v>84</v>
      </c>
      <c r="E128" s="1" t="s">
        <v>61</v>
      </c>
      <c r="F128" s="1" t="s">
        <v>62</v>
      </c>
      <c r="G128" s="1" t="s">
        <v>19</v>
      </c>
      <c r="H128" s="5">
        <v>3</v>
      </c>
      <c r="I128" s="5">
        <v>899.99</v>
      </c>
      <c r="J128" s="1" t="s">
        <v>34</v>
      </c>
      <c r="K128" s="1" t="s">
        <v>50</v>
      </c>
      <c r="L128" s="1" t="s">
        <v>22</v>
      </c>
      <c r="M128" s="4">
        <v>45215</v>
      </c>
      <c r="N128" s="19">
        <v>2699.97</v>
      </c>
      <c r="O128" s="1">
        <f>MONTH(Table1[[#This Row],[Customer_Since]])</f>
        <v>10</v>
      </c>
      <c r="P128" s="1">
        <f>YEAR(Table1[[#This Row],[Customer_Since]])</f>
        <v>2023</v>
      </c>
      <c r="Q128" s="1"/>
      <c r="R128" s="1"/>
      <c r="S128" s="1"/>
      <c r="T128" s="1"/>
      <c r="U128" s="1"/>
      <c r="V128" s="1"/>
      <c r="W128" s="1"/>
      <c r="X128" s="1"/>
      <c r="Y128" s="1"/>
      <c r="Z128" s="1"/>
    </row>
    <row r="129" spans="1:26" ht="15" thickBot="1" x14ac:dyDescent="0.35">
      <c r="A129" s="18" t="s">
        <v>268</v>
      </c>
      <c r="B129" s="4">
        <v>45581</v>
      </c>
      <c r="C129" s="1" t="s">
        <v>96</v>
      </c>
      <c r="D129" s="1" t="s">
        <v>97</v>
      </c>
      <c r="E129" s="1" t="s">
        <v>80</v>
      </c>
      <c r="F129" s="1" t="s">
        <v>81</v>
      </c>
      <c r="G129" s="1" t="s">
        <v>19</v>
      </c>
      <c r="H129" s="5">
        <v>5</v>
      </c>
      <c r="I129" s="5">
        <v>699.99</v>
      </c>
      <c r="J129" s="1" t="s">
        <v>20</v>
      </c>
      <c r="K129" s="1" t="s">
        <v>63</v>
      </c>
      <c r="L129" s="1" t="s">
        <v>36</v>
      </c>
      <c r="M129" s="4">
        <v>45008</v>
      </c>
      <c r="N129" s="19">
        <v>3499.95</v>
      </c>
      <c r="O129" s="1">
        <f>MONTH(Table1[[#This Row],[Customer_Since]])</f>
        <v>3</v>
      </c>
      <c r="P129" s="1">
        <f>YEAR(Table1[[#This Row],[Customer_Since]])</f>
        <v>2023</v>
      </c>
      <c r="Q129" s="1"/>
      <c r="R129" s="1"/>
      <c r="S129" s="1"/>
      <c r="T129" s="1"/>
      <c r="U129" s="1"/>
      <c r="V129" s="1"/>
      <c r="W129" s="1"/>
      <c r="X129" s="1"/>
      <c r="Y129" s="1"/>
      <c r="Z129" s="1"/>
    </row>
    <row r="130" spans="1:26" ht="15" thickBot="1" x14ac:dyDescent="0.35">
      <c r="A130" s="18" t="s">
        <v>269</v>
      </c>
      <c r="B130" s="4">
        <v>45581</v>
      </c>
      <c r="C130" s="1" t="s">
        <v>171</v>
      </c>
      <c r="D130" s="1" t="s">
        <v>172</v>
      </c>
      <c r="E130" s="1" t="s">
        <v>80</v>
      </c>
      <c r="F130" s="1" t="s">
        <v>81</v>
      </c>
      <c r="G130" s="1" t="s">
        <v>19</v>
      </c>
      <c r="H130" s="5">
        <v>4</v>
      </c>
      <c r="I130" s="5">
        <v>699.99</v>
      </c>
      <c r="J130" s="1" t="s">
        <v>26</v>
      </c>
      <c r="K130" s="1" t="s">
        <v>21</v>
      </c>
      <c r="L130" s="1" t="s">
        <v>22</v>
      </c>
      <c r="M130" s="4">
        <v>45385</v>
      </c>
      <c r="N130" s="19">
        <v>2799.96</v>
      </c>
      <c r="O130" s="1">
        <f>MONTH(Table1[[#This Row],[Customer_Since]])</f>
        <v>4</v>
      </c>
      <c r="P130" s="1">
        <f>YEAR(Table1[[#This Row],[Customer_Since]])</f>
        <v>2024</v>
      </c>
      <c r="Q130" s="1"/>
      <c r="R130" s="1"/>
      <c r="S130" s="1"/>
      <c r="T130" s="1"/>
      <c r="U130" s="1"/>
      <c r="V130" s="1"/>
      <c r="W130" s="1"/>
      <c r="X130" s="1"/>
      <c r="Y130" s="1"/>
      <c r="Z130" s="1"/>
    </row>
    <row r="131" spans="1:26" ht="15" thickBot="1" x14ac:dyDescent="0.35">
      <c r="A131" s="18" t="s">
        <v>270</v>
      </c>
      <c r="B131" s="4">
        <v>45581</v>
      </c>
      <c r="C131" s="1" t="s">
        <v>150</v>
      </c>
      <c r="D131" s="1" t="s">
        <v>151</v>
      </c>
      <c r="E131" s="1" t="s">
        <v>61</v>
      </c>
      <c r="F131" s="1" t="s">
        <v>62</v>
      </c>
      <c r="G131" s="1" t="s">
        <v>19</v>
      </c>
      <c r="H131" s="5">
        <v>1</v>
      </c>
      <c r="I131" s="5">
        <v>899.99</v>
      </c>
      <c r="J131" s="1" t="s">
        <v>26</v>
      </c>
      <c r="K131" s="1" t="s">
        <v>63</v>
      </c>
      <c r="L131" s="1" t="s">
        <v>36</v>
      </c>
      <c r="M131" s="4">
        <v>45369</v>
      </c>
      <c r="N131" s="19">
        <v>899.99</v>
      </c>
      <c r="O131" s="1">
        <f>MONTH(Table1[[#This Row],[Customer_Since]])</f>
        <v>3</v>
      </c>
      <c r="P131" s="1">
        <f>YEAR(Table1[[#This Row],[Customer_Since]])</f>
        <v>2024</v>
      </c>
      <c r="Q131" s="1"/>
      <c r="R131" s="1"/>
      <c r="S131" s="1"/>
      <c r="T131" s="1"/>
      <c r="U131" s="1"/>
      <c r="V131" s="1"/>
      <c r="W131" s="1"/>
      <c r="X131" s="1"/>
      <c r="Y131" s="1"/>
      <c r="Z131" s="1"/>
    </row>
    <row r="132" spans="1:26" ht="15" thickBot="1" x14ac:dyDescent="0.35">
      <c r="A132" s="18" t="s">
        <v>271</v>
      </c>
      <c r="B132" s="4">
        <v>45583</v>
      </c>
      <c r="C132" s="1" t="s">
        <v>226</v>
      </c>
      <c r="D132" s="1" t="s">
        <v>227</v>
      </c>
      <c r="E132" s="1" t="s">
        <v>52</v>
      </c>
      <c r="F132" s="1" t="s">
        <v>53</v>
      </c>
      <c r="G132" s="1" t="s">
        <v>19</v>
      </c>
      <c r="H132" s="5">
        <v>2</v>
      </c>
      <c r="I132" s="5">
        <v>149.99</v>
      </c>
      <c r="J132" s="1" t="s">
        <v>26</v>
      </c>
      <c r="K132" s="1" t="s">
        <v>50</v>
      </c>
      <c r="L132" s="1" t="s">
        <v>22</v>
      </c>
      <c r="M132" s="4">
        <v>44916</v>
      </c>
      <c r="N132" s="19">
        <v>299.98</v>
      </c>
      <c r="O132" s="1">
        <f>MONTH(Table1[[#This Row],[Customer_Since]])</f>
        <v>12</v>
      </c>
      <c r="P132" s="1">
        <f>YEAR(Table1[[#This Row],[Customer_Since]])</f>
        <v>2022</v>
      </c>
      <c r="Q132" s="1"/>
      <c r="R132" s="1"/>
      <c r="S132" s="1"/>
      <c r="T132" s="1"/>
      <c r="U132" s="1"/>
      <c r="V132" s="1"/>
      <c r="W132" s="1"/>
      <c r="X132" s="1"/>
      <c r="Y132" s="1"/>
      <c r="Z132" s="1"/>
    </row>
    <row r="133" spans="1:26" ht="15" thickBot="1" x14ac:dyDescent="0.35">
      <c r="A133" s="18" t="s">
        <v>272</v>
      </c>
      <c r="B133" s="4">
        <v>45586</v>
      </c>
      <c r="C133" s="1" t="s">
        <v>226</v>
      </c>
      <c r="D133" s="1" t="s">
        <v>227</v>
      </c>
      <c r="E133" s="1" t="s">
        <v>117</v>
      </c>
      <c r="F133" s="1" t="s">
        <v>118</v>
      </c>
      <c r="G133" s="1" t="s">
        <v>19</v>
      </c>
      <c r="H133" s="5">
        <v>3</v>
      </c>
      <c r="I133" s="5">
        <v>89.99</v>
      </c>
      <c r="J133" s="1" t="s">
        <v>34</v>
      </c>
      <c r="K133" s="1" t="s">
        <v>21</v>
      </c>
      <c r="L133" s="1" t="s">
        <v>22</v>
      </c>
      <c r="M133" s="4">
        <v>44551</v>
      </c>
      <c r="N133" s="19">
        <v>269.97000000000003</v>
      </c>
      <c r="O133" s="1">
        <f>MONTH(Table1[[#This Row],[Customer_Since]])</f>
        <v>12</v>
      </c>
      <c r="P133" s="1">
        <f>YEAR(Table1[[#This Row],[Customer_Since]])</f>
        <v>2021</v>
      </c>
      <c r="Q133" s="1"/>
      <c r="R133" s="1"/>
      <c r="S133" s="1"/>
      <c r="T133" s="1"/>
      <c r="U133" s="1"/>
      <c r="V133" s="1"/>
      <c r="W133" s="1"/>
      <c r="X133" s="1"/>
      <c r="Y133" s="1"/>
      <c r="Z133" s="1"/>
    </row>
    <row r="134" spans="1:26" ht="15" thickBot="1" x14ac:dyDescent="0.35">
      <c r="A134" s="18" t="s">
        <v>273</v>
      </c>
      <c r="B134" s="4">
        <v>45588</v>
      </c>
      <c r="C134" s="1" t="s">
        <v>38</v>
      </c>
      <c r="D134" s="1" t="s">
        <v>39</v>
      </c>
      <c r="E134" s="1" t="s">
        <v>52</v>
      </c>
      <c r="F134" s="1" t="s">
        <v>53</v>
      </c>
      <c r="G134" s="1" t="s">
        <v>19</v>
      </c>
      <c r="H134" s="5">
        <v>2</v>
      </c>
      <c r="I134" s="5">
        <v>149.99</v>
      </c>
      <c r="J134" s="1" t="s">
        <v>34</v>
      </c>
      <c r="K134" s="1" t="s">
        <v>21</v>
      </c>
      <c r="L134" s="1" t="s">
        <v>22</v>
      </c>
      <c r="M134" s="4">
        <v>44473</v>
      </c>
      <c r="N134" s="19">
        <v>299.98</v>
      </c>
      <c r="O134" s="1">
        <f>MONTH(Table1[[#This Row],[Customer_Since]])</f>
        <v>10</v>
      </c>
      <c r="P134" s="1">
        <f>YEAR(Table1[[#This Row],[Customer_Since]])</f>
        <v>2021</v>
      </c>
      <c r="Q134" s="1"/>
      <c r="R134" s="1"/>
      <c r="S134" s="1"/>
      <c r="T134" s="1"/>
      <c r="U134" s="1"/>
      <c r="V134" s="1"/>
      <c r="W134" s="1"/>
      <c r="X134" s="1"/>
      <c r="Y134" s="1"/>
      <c r="Z134" s="1"/>
    </row>
    <row r="135" spans="1:26" ht="15" thickBot="1" x14ac:dyDescent="0.35">
      <c r="A135" s="18" t="s">
        <v>274</v>
      </c>
      <c r="B135" s="4">
        <v>45588</v>
      </c>
      <c r="C135" s="1" t="s">
        <v>154</v>
      </c>
      <c r="D135" s="1" t="s">
        <v>155</v>
      </c>
      <c r="E135" s="1" t="s">
        <v>80</v>
      </c>
      <c r="F135" s="1" t="s">
        <v>81</v>
      </c>
      <c r="G135" s="1" t="s">
        <v>19</v>
      </c>
      <c r="H135" s="5">
        <v>2</v>
      </c>
      <c r="I135" s="5">
        <v>699.99</v>
      </c>
      <c r="J135" s="1" t="s">
        <v>20</v>
      </c>
      <c r="K135" s="1" t="s">
        <v>21</v>
      </c>
      <c r="L135" s="1" t="s">
        <v>22</v>
      </c>
      <c r="M135" s="4">
        <v>44992</v>
      </c>
      <c r="N135" s="19">
        <v>1399.98</v>
      </c>
      <c r="O135" s="1">
        <f>MONTH(Table1[[#This Row],[Customer_Since]])</f>
        <v>3</v>
      </c>
      <c r="P135" s="1">
        <f>YEAR(Table1[[#This Row],[Customer_Since]])</f>
        <v>2023</v>
      </c>
      <c r="Q135" s="1"/>
      <c r="R135" s="1"/>
      <c r="S135" s="1"/>
      <c r="T135" s="1"/>
      <c r="U135" s="1"/>
      <c r="V135" s="1"/>
      <c r="W135" s="1"/>
      <c r="X135" s="1"/>
      <c r="Y135" s="1"/>
      <c r="Z135" s="1"/>
    </row>
    <row r="136" spans="1:26" ht="15" thickBot="1" x14ac:dyDescent="0.35">
      <c r="A136" s="18" t="s">
        <v>275</v>
      </c>
      <c r="B136" s="4">
        <v>45589</v>
      </c>
      <c r="C136" s="1" t="s">
        <v>158</v>
      </c>
      <c r="D136" s="1" t="s">
        <v>159</v>
      </c>
      <c r="E136" s="1" t="s">
        <v>80</v>
      </c>
      <c r="F136" s="1" t="s">
        <v>81</v>
      </c>
      <c r="G136" s="1" t="s">
        <v>19</v>
      </c>
      <c r="H136" s="5">
        <v>5</v>
      </c>
      <c r="I136" s="5">
        <v>699.99</v>
      </c>
      <c r="J136" s="1" t="s">
        <v>20</v>
      </c>
      <c r="K136" s="1" t="s">
        <v>40</v>
      </c>
      <c r="L136" s="1" t="s">
        <v>27</v>
      </c>
      <c r="M136" s="4">
        <v>44635</v>
      </c>
      <c r="N136" s="19">
        <v>3499.95</v>
      </c>
      <c r="O136" s="1">
        <f>MONTH(Table1[[#This Row],[Customer_Since]])</f>
        <v>3</v>
      </c>
      <c r="P136" s="1">
        <f>YEAR(Table1[[#This Row],[Customer_Since]])</f>
        <v>2022</v>
      </c>
      <c r="Q136" s="1"/>
      <c r="R136" s="1"/>
      <c r="S136" s="1"/>
      <c r="T136" s="1"/>
      <c r="U136" s="1"/>
      <c r="V136" s="1"/>
      <c r="W136" s="1"/>
      <c r="X136" s="1"/>
      <c r="Y136" s="1"/>
      <c r="Z136" s="1"/>
    </row>
    <row r="137" spans="1:26" ht="15" thickBot="1" x14ac:dyDescent="0.35">
      <c r="A137" s="18" t="s">
        <v>276</v>
      </c>
      <c r="B137" s="4">
        <v>45592</v>
      </c>
      <c r="C137" s="1" t="s">
        <v>171</v>
      </c>
      <c r="D137" s="1" t="s">
        <v>172</v>
      </c>
      <c r="E137" s="1" t="s">
        <v>117</v>
      </c>
      <c r="F137" s="1" t="s">
        <v>118</v>
      </c>
      <c r="G137" s="1" t="s">
        <v>19</v>
      </c>
      <c r="H137" s="5">
        <v>3</v>
      </c>
      <c r="I137" s="5">
        <v>89.99</v>
      </c>
      <c r="J137" s="1" t="s">
        <v>26</v>
      </c>
      <c r="K137" s="1" t="s">
        <v>40</v>
      </c>
      <c r="L137" s="1" t="s">
        <v>36</v>
      </c>
      <c r="M137" s="4">
        <v>44615</v>
      </c>
      <c r="N137" s="19">
        <v>269.97000000000003</v>
      </c>
      <c r="O137" s="1">
        <f>MONTH(Table1[[#This Row],[Customer_Since]])</f>
        <v>2</v>
      </c>
      <c r="P137" s="1">
        <f>YEAR(Table1[[#This Row],[Customer_Since]])</f>
        <v>2022</v>
      </c>
      <c r="Q137" s="1"/>
      <c r="R137" s="1"/>
      <c r="S137" s="1"/>
      <c r="T137" s="1"/>
      <c r="U137" s="1"/>
      <c r="V137" s="1"/>
      <c r="W137" s="1"/>
      <c r="X137" s="1"/>
      <c r="Y137" s="1"/>
      <c r="Z137" s="1"/>
    </row>
    <row r="138" spans="1:26" ht="15" thickBot="1" x14ac:dyDescent="0.35">
      <c r="A138" s="18" t="s">
        <v>277</v>
      </c>
      <c r="B138" s="4">
        <v>45597</v>
      </c>
      <c r="C138" s="1" t="s">
        <v>15</v>
      </c>
      <c r="D138" s="1" t="s">
        <v>16</v>
      </c>
      <c r="E138" s="1" t="s">
        <v>17</v>
      </c>
      <c r="F138" s="1" t="s">
        <v>18</v>
      </c>
      <c r="G138" s="1" t="s">
        <v>19</v>
      </c>
      <c r="H138" s="5">
        <v>5</v>
      </c>
      <c r="I138" s="5">
        <v>249.99</v>
      </c>
      <c r="J138" s="1" t="s">
        <v>26</v>
      </c>
      <c r="K138" s="1" t="s">
        <v>35</v>
      </c>
      <c r="L138" s="1" t="s">
        <v>36</v>
      </c>
      <c r="M138" s="4">
        <v>44881</v>
      </c>
      <c r="N138" s="19">
        <v>1249.95</v>
      </c>
      <c r="O138" s="1">
        <f>MONTH(Table1[[#This Row],[Customer_Since]])</f>
        <v>11</v>
      </c>
      <c r="P138" s="1">
        <f>YEAR(Table1[[#This Row],[Customer_Since]])</f>
        <v>2022</v>
      </c>
      <c r="Q138" s="1"/>
      <c r="R138" s="1"/>
      <c r="S138" s="1"/>
      <c r="T138" s="1"/>
      <c r="U138" s="1"/>
      <c r="V138" s="1"/>
      <c r="W138" s="1"/>
      <c r="X138" s="1"/>
      <c r="Y138" s="1"/>
      <c r="Z138" s="1"/>
    </row>
    <row r="139" spans="1:26" ht="15" thickBot="1" x14ac:dyDescent="0.35">
      <c r="A139" s="18" t="s">
        <v>278</v>
      </c>
      <c r="B139" s="4">
        <v>45600</v>
      </c>
      <c r="C139" s="1" t="s">
        <v>65</v>
      </c>
      <c r="D139" s="1" t="s">
        <v>66</v>
      </c>
      <c r="E139" s="1" t="s">
        <v>105</v>
      </c>
      <c r="F139" s="1" t="s">
        <v>106</v>
      </c>
      <c r="G139" s="1" t="s">
        <v>46</v>
      </c>
      <c r="H139" s="5">
        <v>3</v>
      </c>
      <c r="I139" s="5">
        <v>299.99</v>
      </c>
      <c r="J139" s="1" t="s">
        <v>26</v>
      </c>
      <c r="K139" s="1" t="s">
        <v>35</v>
      </c>
      <c r="L139" s="1" t="s">
        <v>36</v>
      </c>
      <c r="M139" s="4">
        <v>44502</v>
      </c>
      <c r="N139" s="19">
        <v>899.97</v>
      </c>
      <c r="O139" s="1">
        <f>MONTH(Table1[[#This Row],[Customer_Since]])</f>
        <v>11</v>
      </c>
      <c r="P139" s="1">
        <f>YEAR(Table1[[#This Row],[Customer_Since]])</f>
        <v>2021</v>
      </c>
      <c r="Q139" s="1"/>
      <c r="R139" s="1"/>
      <c r="S139" s="1"/>
      <c r="T139" s="1"/>
      <c r="U139" s="1"/>
      <c r="V139" s="1"/>
      <c r="W139" s="1"/>
      <c r="X139" s="1"/>
      <c r="Y139" s="1"/>
      <c r="Z139" s="1"/>
    </row>
    <row r="140" spans="1:26" ht="15" thickBot="1" x14ac:dyDescent="0.35">
      <c r="A140" s="18" t="s">
        <v>279</v>
      </c>
      <c r="B140" s="4">
        <v>45603</v>
      </c>
      <c r="C140" s="1" t="s">
        <v>99</v>
      </c>
      <c r="D140" s="1" t="s">
        <v>100</v>
      </c>
      <c r="E140" s="1" t="s">
        <v>117</v>
      </c>
      <c r="F140" s="1" t="s">
        <v>118</v>
      </c>
      <c r="G140" s="1" t="s">
        <v>19</v>
      </c>
      <c r="H140" s="5">
        <v>3</v>
      </c>
      <c r="I140" s="5">
        <v>89.99</v>
      </c>
      <c r="J140" s="1" t="s">
        <v>26</v>
      </c>
      <c r="K140" s="1" t="s">
        <v>40</v>
      </c>
      <c r="L140" s="1" t="s">
        <v>27</v>
      </c>
      <c r="M140" s="4">
        <v>44420</v>
      </c>
      <c r="N140" s="19">
        <v>269.97000000000003</v>
      </c>
      <c r="O140" s="1">
        <f>MONTH(Table1[[#This Row],[Customer_Since]])</f>
        <v>8</v>
      </c>
      <c r="P140" s="1">
        <f>YEAR(Table1[[#This Row],[Customer_Since]])</f>
        <v>2021</v>
      </c>
      <c r="Q140" s="1"/>
      <c r="R140" s="1"/>
      <c r="S140" s="1"/>
      <c r="T140" s="1"/>
      <c r="U140" s="1"/>
      <c r="V140" s="1"/>
      <c r="W140" s="1"/>
      <c r="X140" s="1"/>
      <c r="Y140" s="1"/>
      <c r="Z140" s="1"/>
    </row>
    <row r="141" spans="1:26" ht="15" thickBot="1" x14ac:dyDescent="0.35">
      <c r="A141" s="18" t="s">
        <v>280</v>
      </c>
      <c r="B141" s="4">
        <v>45604</v>
      </c>
      <c r="C141" s="1" t="s">
        <v>89</v>
      </c>
      <c r="D141" s="1" t="s">
        <v>90</v>
      </c>
      <c r="E141" s="1" t="s">
        <v>44</v>
      </c>
      <c r="F141" s="1" t="s">
        <v>45</v>
      </c>
      <c r="G141" s="1" t="s">
        <v>46</v>
      </c>
      <c r="H141" s="5">
        <v>2</v>
      </c>
      <c r="I141" s="5">
        <v>149.99</v>
      </c>
      <c r="J141" s="1" t="s">
        <v>26</v>
      </c>
      <c r="K141" s="1" t="s">
        <v>50</v>
      </c>
      <c r="L141" s="1" t="s">
        <v>27</v>
      </c>
      <c r="M141" s="4">
        <v>44848</v>
      </c>
      <c r="N141" s="19">
        <v>299.98</v>
      </c>
      <c r="O141" s="1">
        <f>MONTH(Table1[[#This Row],[Customer_Since]])</f>
        <v>10</v>
      </c>
      <c r="P141" s="1">
        <f>YEAR(Table1[[#This Row],[Customer_Since]])</f>
        <v>2022</v>
      </c>
      <c r="Q141" s="1"/>
      <c r="R141" s="1"/>
      <c r="S141" s="1"/>
      <c r="T141" s="1"/>
      <c r="U141" s="1"/>
      <c r="V141" s="1"/>
      <c r="W141" s="1"/>
      <c r="X141" s="1"/>
      <c r="Y141" s="1"/>
      <c r="Z141" s="1"/>
    </row>
    <row r="142" spans="1:26" ht="15" thickBot="1" x14ac:dyDescent="0.35">
      <c r="A142" s="18" t="s">
        <v>281</v>
      </c>
      <c r="B142" s="4">
        <v>45605</v>
      </c>
      <c r="C142" s="1" t="s">
        <v>185</v>
      </c>
      <c r="D142" s="1" t="s">
        <v>186</v>
      </c>
      <c r="E142" s="1" t="s">
        <v>17</v>
      </c>
      <c r="F142" s="1" t="s">
        <v>18</v>
      </c>
      <c r="G142" s="1" t="s">
        <v>19</v>
      </c>
      <c r="H142" s="5">
        <v>1</v>
      </c>
      <c r="I142" s="5">
        <v>249.99</v>
      </c>
      <c r="J142" s="1" t="s">
        <v>26</v>
      </c>
      <c r="K142" s="1" t="s">
        <v>40</v>
      </c>
      <c r="L142" s="1" t="s">
        <v>27</v>
      </c>
      <c r="M142" s="4">
        <v>44828</v>
      </c>
      <c r="N142" s="19">
        <v>249.99</v>
      </c>
      <c r="O142" s="1">
        <f>MONTH(Table1[[#This Row],[Customer_Since]])</f>
        <v>9</v>
      </c>
      <c r="P142" s="1">
        <f>YEAR(Table1[[#This Row],[Customer_Since]])</f>
        <v>2022</v>
      </c>
      <c r="Q142" s="1"/>
      <c r="R142" s="1"/>
      <c r="S142" s="1"/>
      <c r="T142" s="1"/>
      <c r="U142" s="1"/>
      <c r="V142" s="1"/>
      <c r="W142" s="1"/>
      <c r="X142" s="1"/>
      <c r="Y142" s="1"/>
      <c r="Z142" s="1"/>
    </row>
    <row r="143" spans="1:26" ht="15" thickBot="1" x14ac:dyDescent="0.35">
      <c r="A143" s="18" t="s">
        <v>282</v>
      </c>
      <c r="B143" s="4">
        <v>45607</v>
      </c>
      <c r="C143" s="1" t="s">
        <v>72</v>
      </c>
      <c r="D143" s="1" t="s">
        <v>73</v>
      </c>
      <c r="E143" s="1" t="s">
        <v>52</v>
      </c>
      <c r="F143" s="1" t="s">
        <v>53</v>
      </c>
      <c r="G143" s="1" t="s">
        <v>19</v>
      </c>
      <c r="H143" s="5">
        <v>3</v>
      </c>
      <c r="I143" s="5">
        <v>149.99</v>
      </c>
      <c r="J143" s="1" t="s">
        <v>20</v>
      </c>
      <c r="K143" s="1" t="s">
        <v>40</v>
      </c>
      <c r="L143" s="1" t="s">
        <v>22</v>
      </c>
      <c r="M143" s="4">
        <v>44769</v>
      </c>
      <c r="N143" s="19">
        <v>449.97</v>
      </c>
      <c r="O143" s="1">
        <f>MONTH(Table1[[#This Row],[Customer_Since]])</f>
        <v>7</v>
      </c>
      <c r="P143" s="1">
        <f>YEAR(Table1[[#This Row],[Customer_Since]])</f>
        <v>2022</v>
      </c>
      <c r="Q143" s="1"/>
      <c r="R143" s="1"/>
      <c r="S143" s="1"/>
      <c r="T143" s="1"/>
      <c r="U143" s="1"/>
      <c r="V143" s="1"/>
      <c r="W143" s="1"/>
      <c r="X143" s="1"/>
      <c r="Y143" s="1"/>
      <c r="Z143" s="1"/>
    </row>
    <row r="144" spans="1:26" ht="15" thickBot="1" x14ac:dyDescent="0.35">
      <c r="A144" s="18" t="s">
        <v>283</v>
      </c>
      <c r="B144" s="4">
        <v>45607</v>
      </c>
      <c r="C144" s="1" t="s">
        <v>15</v>
      </c>
      <c r="D144" s="1" t="s">
        <v>16</v>
      </c>
      <c r="E144" s="1" t="s">
        <v>31</v>
      </c>
      <c r="F144" s="1" t="s">
        <v>32</v>
      </c>
      <c r="G144" s="1" t="s">
        <v>33</v>
      </c>
      <c r="H144" s="5">
        <v>5</v>
      </c>
      <c r="I144" s="5">
        <v>59.99</v>
      </c>
      <c r="J144" s="1" t="s">
        <v>34</v>
      </c>
      <c r="K144" s="1" t="s">
        <v>50</v>
      </c>
      <c r="L144" s="1" t="s">
        <v>27</v>
      </c>
      <c r="M144" s="4">
        <v>44694</v>
      </c>
      <c r="N144" s="19">
        <v>299.95</v>
      </c>
      <c r="O144" s="1">
        <f>MONTH(Table1[[#This Row],[Customer_Since]])</f>
        <v>5</v>
      </c>
      <c r="P144" s="1">
        <f>YEAR(Table1[[#This Row],[Customer_Since]])</f>
        <v>2022</v>
      </c>
      <c r="Q144" s="1"/>
      <c r="R144" s="1"/>
      <c r="S144" s="1"/>
      <c r="T144" s="1"/>
      <c r="U144" s="1"/>
      <c r="V144" s="1"/>
      <c r="W144" s="1"/>
      <c r="X144" s="1"/>
      <c r="Y144" s="1"/>
      <c r="Z144" s="1"/>
    </row>
    <row r="145" spans="1:26" ht="15" thickBot="1" x14ac:dyDescent="0.35">
      <c r="A145" s="18" t="s">
        <v>284</v>
      </c>
      <c r="B145" s="4">
        <v>45607</v>
      </c>
      <c r="C145" s="1" t="s">
        <v>99</v>
      </c>
      <c r="D145" s="1" t="s">
        <v>100</v>
      </c>
      <c r="E145" s="1" t="s">
        <v>17</v>
      </c>
      <c r="F145" s="1" t="s">
        <v>18</v>
      </c>
      <c r="G145" s="1" t="s">
        <v>19</v>
      </c>
      <c r="H145" s="5">
        <v>4</v>
      </c>
      <c r="I145" s="5">
        <v>249.99</v>
      </c>
      <c r="J145" s="1" t="s">
        <v>26</v>
      </c>
      <c r="K145" s="1" t="s">
        <v>50</v>
      </c>
      <c r="L145" s="1" t="s">
        <v>36</v>
      </c>
      <c r="M145" s="4">
        <v>44659</v>
      </c>
      <c r="N145" s="19">
        <v>999.96</v>
      </c>
      <c r="O145" s="1">
        <f>MONTH(Table1[[#This Row],[Customer_Since]])</f>
        <v>4</v>
      </c>
      <c r="P145" s="1">
        <f>YEAR(Table1[[#This Row],[Customer_Since]])</f>
        <v>2022</v>
      </c>
      <c r="Q145" s="1"/>
      <c r="R145" s="1"/>
      <c r="S145" s="1"/>
      <c r="T145" s="1"/>
      <c r="U145" s="1"/>
      <c r="V145" s="1"/>
      <c r="W145" s="1"/>
      <c r="X145" s="1"/>
      <c r="Y145" s="1"/>
      <c r="Z145" s="1"/>
    </row>
    <row r="146" spans="1:26" ht="15" thickBot="1" x14ac:dyDescent="0.35">
      <c r="A146" s="18" t="s">
        <v>285</v>
      </c>
      <c r="B146" s="4">
        <v>45608</v>
      </c>
      <c r="C146" s="1" t="s">
        <v>154</v>
      </c>
      <c r="D146" s="1" t="s">
        <v>155</v>
      </c>
      <c r="E146" s="1" t="s">
        <v>44</v>
      </c>
      <c r="F146" s="1" t="s">
        <v>45</v>
      </c>
      <c r="G146" s="1" t="s">
        <v>46</v>
      </c>
      <c r="H146" s="5">
        <v>5</v>
      </c>
      <c r="I146" s="5">
        <v>149.99</v>
      </c>
      <c r="J146" s="1" t="s">
        <v>34</v>
      </c>
      <c r="K146" s="1" t="s">
        <v>21</v>
      </c>
      <c r="L146" s="1" t="s">
        <v>22</v>
      </c>
      <c r="M146" s="4">
        <v>44901</v>
      </c>
      <c r="N146" s="19">
        <v>749.95</v>
      </c>
      <c r="O146" s="1">
        <f>MONTH(Table1[[#This Row],[Customer_Since]])</f>
        <v>12</v>
      </c>
      <c r="P146" s="1">
        <f>YEAR(Table1[[#This Row],[Customer_Since]])</f>
        <v>2022</v>
      </c>
      <c r="Q146" s="1"/>
      <c r="R146" s="1"/>
      <c r="S146" s="1"/>
      <c r="T146" s="1"/>
      <c r="U146" s="1"/>
      <c r="V146" s="1"/>
      <c r="W146" s="1"/>
      <c r="X146" s="1"/>
      <c r="Y146" s="1"/>
      <c r="Z146" s="1"/>
    </row>
    <row r="147" spans="1:26" ht="15" thickBot="1" x14ac:dyDescent="0.35">
      <c r="A147" s="18" t="s">
        <v>286</v>
      </c>
      <c r="B147" s="4">
        <v>45608</v>
      </c>
      <c r="C147" s="1" t="s">
        <v>83</v>
      </c>
      <c r="D147" s="1" t="s">
        <v>84</v>
      </c>
      <c r="E147" s="1" t="s">
        <v>31</v>
      </c>
      <c r="F147" s="1" t="s">
        <v>32</v>
      </c>
      <c r="G147" s="1" t="s">
        <v>33</v>
      </c>
      <c r="H147" s="5">
        <v>3</v>
      </c>
      <c r="I147" s="5">
        <v>59.99</v>
      </c>
      <c r="J147" s="1" t="s">
        <v>57</v>
      </c>
      <c r="K147" s="1" t="s">
        <v>35</v>
      </c>
      <c r="L147" s="1" t="s">
        <v>36</v>
      </c>
      <c r="M147" s="4">
        <v>45260</v>
      </c>
      <c r="N147" s="19">
        <v>179.97</v>
      </c>
      <c r="O147" s="1">
        <f>MONTH(Table1[[#This Row],[Customer_Since]])</f>
        <v>11</v>
      </c>
      <c r="P147" s="1">
        <f>YEAR(Table1[[#This Row],[Customer_Since]])</f>
        <v>2023</v>
      </c>
      <c r="Q147" s="1"/>
      <c r="R147" s="1"/>
      <c r="S147" s="1"/>
      <c r="T147" s="1"/>
      <c r="U147" s="1"/>
      <c r="V147" s="1"/>
      <c r="W147" s="1"/>
      <c r="X147" s="1"/>
      <c r="Y147" s="1"/>
      <c r="Z147" s="1"/>
    </row>
    <row r="148" spans="1:26" ht="15" thickBot="1" x14ac:dyDescent="0.35">
      <c r="A148" s="18" t="s">
        <v>287</v>
      </c>
      <c r="B148" s="4">
        <v>45613</v>
      </c>
      <c r="C148" s="1" t="s">
        <v>234</v>
      </c>
      <c r="D148" s="1" t="s">
        <v>235</v>
      </c>
      <c r="E148" s="1" t="s">
        <v>44</v>
      </c>
      <c r="F148" s="1" t="s">
        <v>45</v>
      </c>
      <c r="G148" s="1" t="s">
        <v>46</v>
      </c>
      <c r="H148" s="5">
        <v>5</v>
      </c>
      <c r="I148" s="5">
        <v>149.99</v>
      </c>
      <c r="J148" s="1" t="s">
        <v>20</v>
      </c>
      <c r="K148" s="1" t="s">
        <v>40</v>
      </c>
      <c r="L148" s="1" t="s">
        <v>22</v>
      </c>
      <c r="M148" s="4">
        <v>44869</v>
      </c>
      <c r="N148" s="19">
        <v>749.95</v>
      </c>
      <c r="O148" s="1">
        <f>MONTH(Table1[[#This Row],[Customer_Since]])</f>
        <v>11</v>
      </c>
      <c r="P148" s="1">
        <f>YEAR(Table1[[#This Row],[Customer_Since]])</f>
        <v>2022</v>
      </c>
      <c r="Q148" s="1"/>
      <c r="R148" s="1"/>
      <c r="S148" s="1"/>
      <c r="T148" s="1"/>
      <c r="U148" s="1"/>
      <c r="V148" s="1"/>
      <c r="W148" s="1"/>
      <c r="X148" s="1"/>
      <c r="Y148" s="1"/>
      <c r="Z148" s="1"/>
    </row>
    <row r="149" spans="1:26" ht="15" thickBot="1" x14ac:dyDescent="0.35">
      <c r="A149" s="18" t="s">
        <v>288</v>
      </c>
      <c r="B149" s="4">
        <v>45613</v>
      </c>
      <c r="C149" s="1" t="s">
        <v>86</v>
      </c>
      <c r="D149" s="1" t="s">
        <v>87</v>
      </c>
      <c r="E149" s="1" t="s">
        <v>80</v>
      </c>
      <c r="F149" s="1" t="s">
        <v>81</v>
      </c>
      <c r="G149" s="1" t="s">
        <v>19</v>
      </c>
      <c r="H149" s="5">
        <v>2</v>
      </c>
      <c r="I149" s="5">
        <v>699.99</v>
      </c>
      <c r="J149" s="1" t="s">
        <v>34</v>
      </c>
      <c r="K149" s="1" t="s">
        <v>50</v>
      </c>
      <c r="L149" s="1" t="s">
        <v>36</v>
      </c>
      <c r="M149" s="4">
        <v>44770</v>
      </c>
      <c r="N149" s="19">
        <v>1399.98</v>
      </c>
      <c r="O149" s="1">
        <f>MONTH(Table1[[#This Row],[Customer_Since]])</f>
        <v>7</v>
      </c>
      <c r="P149" s="1">
        <f>YEAR(Table1[[#This Row],[Customer_Since]])</f>
        <v>2022</v>
      </c>
      <c r="Q149" s="1"/>
      <c r="R149" s="1"/>
      <c r="S149" s="1"/>
      <c r="T149" s="1"/>
      <c r="U149" s="1"/>
      <c r="V149" s="1"/>
      <c r="W149" s="1"/>
      <c r="X149" s="1"/>
      <c r="Y149" s="1"/>
      <c r="Z149" s="1"/>
    </row>
    <row r="150" spans="1:26" ht="15" thickBot="1" x14ac:dyDescent="0.35">
      <c r="A150" s="18" t="s">
        <v>289</v>
      </c>
      <c r="B150" s="4">
        <v>45617</v>
      </c>
      <c r="C150" s="1" t="s">
        <v>123</v>
      </c>
      <c r="D150" s="1" t="s">
        <v>124</v>
      </c>
      <c r="E150" s="1" t="s">
        <v>126</v>
      </c>
      <c r="F150" s="1" t="s">
        <v>127</v>
      </c>
      <c r="G150" s="1" t="s">
        <v>46</v>
      </c>
      <c r="H150" s="5">
        <v>4</v>
      </c>
      <c r="I150" s="5">
        <v>199.99</v>
      </c>
      <c r="J150" s="1" t="s">
        <v>57</v>
      </c>
      <c r="K150" s="1" t="s">
        <v>21</v>
      </c>
      <c r="L150" s="1" t="s">
        <v>27</v>
      </c>
      <c r="M150" s="4">
        <v>44427</v>
      </c>
      <c r="N150" s="19">
        <v>799.96</v>
      </c>
      <c r="O150" s="1">
        <f>MONTH(Table1[[#This Row],[Customer_Since]])</f>
        <v>8</v>
      </c>
      <c r="P150" s="1">
        <f>YEAR(Table1[[#This Row],[Customer_Since]])</f>
        <v>2021</v>
      </c>
      <c r="Q150" s="1"/>
      <c r="R150" s="1"/>
      <c r="S150" s="1"/>
      <c r="T150" s="1"/>
      <c r="U150" s="1"/>
      <c r="V150" s="1"/>
      <c r="W150" s="1"/>
      <c r="X150" s="1"/>
      <c r="Y150" s="1"/>
      <c r="Z150" s="1"/>
    </row>
    <row r="151" spans="1:26" ht="15" thickBot="1" x14ac:dyDescent="0.35">
      <c r="A151" s="18" t="s">
        <v>290</v>
      </c>
      <c r="B151" s="4">
        <v>45619</v>
      </c>
      <c r="C151" s="1" t="s">
        <v>192</v>
      </c>
      <c r="D151" s="1" t="s">
        <v>193</v>
      </c>
      <c r="E151" s="1" t="s">
        <v>31</v>
      </c>
      <c r="F151" s="1" t="s">
        <v>32</v>
      </c>
      <c r="G151" s="1" t="s">
        <v>33</v>
      </c>
      <c r="H151" s="5">
        <v>1</v>
      </c>
      <c r="I151" s="5">
        <v>59.99</v>
      </c>
      <c r="J151" s="1" t="s">
        <v>57</v>
      </c>
      <c r="K151" s="1" t="s">
        <v>50</v>
      </c>
      <c r="L151" s="1" t="s">
        <v>36</v>
      </c>
      <c r="M151" s="4">
        <v>44560</v>
      </c>
      <c r="N151" s="19">
        <v>59.99</v>
      </c>
      <c r="O151" s="1">
        <f>MONTH(Table1[[#This Row],[Customer_Since]])</f>
        <v>12</v>
      </c>
      <c r="P151" s="1">
        <f>YEAR(Table1[[#This Row],[Customer_Since]])</f>
        <v>2021</v>
      </c>
      <c r="Q151" s="1"/>
      <c r="R151" s="1"/>
      <c r="S151" s="1"/>
      <c r="T151" s="1"/>
      <c r="U151" s="1"/>
      <c r="V151" s="1"/>
      <c r="W151" s="1"/>
      <c r="X151" s="1"/>
      <c r="Y151" s="1"/>
      <c r="Z151" s="1"/>
    </row>
    <row r="152" spans="1:26" ht="15" thickBot="1" x14ac:dyDescent="0.35">
      <c r="A152" s="18" t="s">
        <v>291</v>
      </c>
      <c r="B152" s="4">
        <v>45619</v>
      </c>
      <c r="C152" s="1" t="s">
        <v>154</v>
      </c>
      <c r="D152" s="1" t="s">
        <v>155</v>
      </c>
      <c r="E152" s="1" t="s">
        <v>80</v>
      </c>
      <c r="F152" s="1" t="s">
        <v>81</v>
      </c>
      <c r="G152" s="1" t="s">
        <v>19</v>
      </c>
      <c r="H152" s="5">
        <v>3</v>
      </c>
      <c r="I152" s="5">
        <v>699.99</v>
      </c>
      <c r="J152" s="1" t="s">
        <v>34</v>
      </c>
      <c r="K152" s="1" t="s">
        <v>50</v>
      </c>
      <c r="L152" s="1" t="s">
        <v>36</v>
      </c>
      <c r="M152" s="4">
        <v>44583</v>
      </c>
      <c r="N152" s="19">
        <v>2099.9699999999998</v>
      </c>
      <c r="O152" s="1">
        <f>MONTH(Table1[[#This Row],[Customer_Since]])</f>
        <v>1</v>
      </c>
      <c r="P152" s="1">
        <f>YEAR(Table1[[#This Row],[Customer_Since]])</f>
        <v>2022</v>
      </c>
      <c r="Q152" s="1"/>
      <c r="R152" s="1"/>
      <c r="S152" s="1"/>
      <c r="T152" s="1"/>
      <c r="U152" s="1"/>
      <c r="V152" s="1"/>
      <c r="W152" s="1"/>
      <c r="X152" s="1"/>
      <c r="Y152" s="1"/>
      <c r="Z152" s="1"/>
    </row>
    <row r="153" spans="1:26" ht="15" thickBot="1" x14ac:dyDescent="0.35">
      <c r="A153" s="18" t="s">
        <v>292</v>
      </c>
      <c r="B153" s="4">
        <v>45622</v>
      </c>
      <c r="C153" s="1" t="s">
        <v>293</v>
      </c>
      <c r="D153" s="1" t="s">
        <v>294</v>
      </c>
      <c r="E153" s="1" t="s">
        <v>17</v>
      </c>
      <c r="F153" s="1" t="s">
        <v>18</v>
      </c>
      <c r="G153" s="1" t="s">
        <v>19</v>
      </c>
      <c r="H153" s="5">
        <v>5</v>
      </c>
      <c r="I153" s="5">
        <v>249.99</v>
      </c>
      <c r="J153" s="1" t="s">
        <v>26</v>
      </c>
      <c r="K153" s="1" t="s">
        <v>40</v>
      </c>
      <c r="L153" s="1" t="s">
        <v>22</v>
      </c>
      <c r="M153" s="4">
        <v>44873</v>
      </c>
      <c r="N153" s="19">
        <v>1249.95</v>
      </c>
      <c r="O153" s="1">
        <f>MONTH(Table1[[#This Row],[Customer_Since]])</f>
        <v>11</v>
      </c>
      <c r="P153" s="1">
        <f>YEAR(Table1[[#This Row],[Customer_Since]])</f>
        <v>2022</v>
      </c>
      <c r="Q153" s="1"/>
      <c r="R153" s="1"/>
      <c r="S153" s="1"/>
      <c r="T153" s="1"/>
      <c r="U153" s="1"/>
      <c r="V153" s="1"/>
      <c r="W153" s="1"/>
      <c r="X153" s="1"/>
      <c r="Y153" s="1"/>
      <c r="Z153" s="1"/>
    </row>
    <row r="154" spans="1:26" ht="15" thickBot="1" x14ac:dyDescent="0.35">
      <c r="A154" s="18" t="s">
        <v>295</v>
      </c>
      <c r="B154" s="4">
        <v>45623</v>
      </c>
      <c r="C154" s="1" t="s">
        <v>112</v>
      </c>
      <c r="D154" s="1" t="s">
        <v>113</v>
      </c>
      <c r="E154" s="1" t="s">
        <v>44</v>
      </c>
      <c r="F154" s="1" t="s">
        <v>45</v>
      </c>
      <c r="G154" s="1" t="s">
        <v>46</v>
      </c>
      <c r="H154" s="5">
        <v>2</v>
      </c>
      <c r="I154" s="5">
        <v>149.99</v>
      </c>
      <c r="J154" s="1" t="s">
        <v>20</v>
      </c>
      <c r="K154" s="1" t="s">
        <v>35</v>
      </c>
      <c r="L154" s="1" t="s">
        <v>36</v>
      </c>
      <c r="M154" s="4">
        <v>45101</v>
      </c>
      <c r="N154" s="19">
        <v>299.98</v>
      </c>
      <c r="O154" s="1">
        <f>MONTH(Table1[[#This Row],[Customer_Since]])</f>
        <v>6</v>
      </c>
      <c r="P154" s="1">
        <f>YEAR(Table1[[#This Row],[Customer_Since]])</f>
        <v>2023</v>
      </c>
      <c r="Q154" s="1"/>
      <c r="R154" s="1"/>
      <c r="S154" s="1"/>
      <c r="T154" s="1"/>
      <c r="U154" s="1"/>
      <c r="V154" s="1"/>
      <c r="W154" s="1"/>
      <c r="X154" s="1"/>
      <c r="Y154" s="1"/>
      <c r="Z154" s="1"/>
    </row>
    <row r="155" spans="1:26" ht="15" thickBot="1" x14ac:dyDescent="0.35">
      <c r="A155" s="18" t="s">
        <v>296</v>
      </c>
      <c r="B155" s="4">
        <v>45627</v>
      </c>
      <c r="C155" s="1" t="s">
        <v>29</v>
      </c>
      <c r="D155" s="1" t="s">
        <v>30</v>
      </c>
      <c r="E155" s="1" t="s">
        <v>105</v>
      </c>
      <c r="F155" s="1" t="s">
        <v>106</v>
      </c>
      <c r="G155" s="1" t="s">
        <v>46</v>
      </c>
      <c r="H155" s="5">
        <v>3</v>
      </c>
      <c r="I155" s="5">
        <v>299.99</v>
      </c>
      <c r="J155" s="1" t="s">
        <v>20</v>
      </c>
      <c r="K155" s="1" t="s">
        <v>35</v>
      </c>
      <c r="L155" s="1" t="s">
        <v>27</v>
      </c>
      <c r="M155" s="4">
        <v>44659</v>
      </c>
      <c r="N155" s="19">
        <v>899.97</v>
      </c>
      <c r="O155" s="1">
        <f>MONTH(Table1[[#This Row],[Customer_Since]])</f>
        <v>4</v>
      </c>
      <c r="P155" s="1">
        <f>YEAR(Table1[[#This Row],[Customer_Since]])</f>
        <v>2022</v>
      </c>
      <c r="Q155" s="1"/>
      <c r="R155" s="1"/>
      <c r="S155" s="1"/>
      <c r="T155" s="1"/>
      <c r="U155" s="1"/>
      <c r="V155" s="1"/>
      <c r="W155" s="1"/>
      <c r="X155" s="1"/>
      <c r="Y155" s="1"/>
      <c r="Z155" s="1"/>
    </row>
    <row r="156" spans="1:26" ht="15" thickBot="1" x14ac:dyDescent="0.35">
      <c r="A156" s="18" t="s">
        <v>297</v>
      </c>
      <c r="B156" s="4">
        <v>45627</v>
      </c>
      <c r="C156" s="1" t="s">
        <v>55</v>
      </c>
      <c r="D156" s="1" t="s">
        <v>56</v>
      </c>
      <c r="E156" s="1" t="s">
        <v>17</v>
      </c>
      <c r="F156" s="1" t="s">
        <v>18</v>
      </c>
      <c r="G156" s="1" t="s">
        <v>19</v>
      </c>
      <c r="H156" s="5">
        <v>5</v>
      </c>
      <c r="I156" s="5">
        <v>249.99</v>
      </c>
      <c r="J156" s="1" t="s">
        <v>20</v>
      </c>
      <c r="K156" s="1" t="s">
        <v>21</v>
      </c>
      <c r="L156" s="1" t="s">
        <v>27</v>
      </c>
      <c r="M156" s="4">
        <v>44485</v>
      </c>
      <c r="N156" s="19">
        <v>1249.95</v>
      </c>
      <c r="O156" s="1">
        <f>MONTH(Table1[[#This Row],[Customer_Since]])</f>
        <v>10</v>
      </c>
      <c r="P156" s="1">
        <f>YEAR(Table1[[#This Row],[Customer_Since]])</f>
        <v>2021</v>
      </c>
      <c r="Q156" s="1"/>
      <c r="R156" s="1"/>
      <c r="S156" s="1"/>
      <c r="T156" s="1"/>
      <c r="U156" s="1"/>
      <c r="V156" s="1"/>
      <c r="W156" s="1"/>
      <c r="X156" s="1"/>
      <c r="Y156" s="1"/>
      <c r="Z156" s="1"/>
    </row>
    <row r="157" spans="1:26" ht="15" thickBot="1" x14ac:dyDescent="0.35">
      <c r="A157" s="18" t="s">
        <v>298</v>
      </c>
      <c r="B157" s="4">
        <v>45627</v>
      </c>
      <c r="C157" s="1" t="s">
        <v>24</v>
      </c>
      <c r="D157" s="1" t="s">
        <v>25</v>
      </c>
      <c r="E157" s="1" t="s">
        <v>52</v>
      </c>
      <c r="F157" s="1" t="s">
        <v>53</v>
      </c>
      <c r="G157" s="1" t="s">
        <v>19</v>
      </c>
      <c r="H157" s="5">
        <v>2</v>
      </c>
      <c r="I157" s="5">
        <v>149.99</v>
      </c>
      <c r="J157" s="1" t="s">
        <v>20</v>
      </c>
      <c r="K157" s="1" t="s">
        <v>35</v>
      </c>
      <c r="L157" s="1" t="s">
        <v>27</v>
      </c>
      <c r="M157" s="4">
        <v>44475</v>
      </c>
      <c r="N157" s="19">
        <v>299.98</v>
      </c>
      <c r="O157" s="1">
        <f>MONTH(Table1[[#This Row],[Customer_Since]])</f>
        <v>10</v>
      </c>
      <c r="P157" s="1">
        <f>YEAR(Table1[[#This Row],[Customer_Since]])</f>
        <v>2021</v>
      </c>
      <c r="Q157" s="1"/>
      <c r="R157" s="1"/>
      <c r="S157" s="1"/>
      <c r="T157" s="1"/>
      <c r="U157" s="1"/>
      <c r="V157" s="1"/>
      <c r="W157" s="1"/>
      <c r="X157" s="1"/>
      <c r="Y157" s="1"/>
      <c r="Z157" s="1"/>
    </row>
    <row r="158" spans="1:26" ht="15" thickBot="1" x14ac:dyDescent="0.35">
      <c r="A158" s="18" t="s">
        <v>299</v>
      </c>
      <c r="B158" s="4">
        <v>45627</v>
      </c>
      <c r="C158" s="1" t="s">
        <v>86</v>
      </c>
      <c r="D158" s="1" t="s">
        <v>87</v>
      </c>
      <c r="E158" s="1" t="s">
        <v>80</v>
      </c>
      <c r="F158" s="1" t="s">
        <v>81</v>
      </c>
      <c r="G158" s="1" t="s">
        <v>19</v>
      </c>
      <c r="H158" s="5">
        <v>5</v>
      </c>
      <c r="I158" s="5">
        <v>699.99</v>
      </c>
      <c r="J158" s="1" t="s">
        <v>57</v>
      </c>
      <c r="K158" s="1" t="s">
        <v>50</v>
      </c>
      <c r="L158" s="1" t="s">
        <v>36</v>
      </c>
      <c r="M158" s="4">
        <v>44944</v>
      </c>
      <c r="N158" s="19">
        <v>3499.95</v>
      </c>
      <c r="O158" s="1">
        <f>MONTH(Table1[[#This Row],[Customer_Since]])</f>
        <v>1</v>
      </c>
      <c r="P158" s="1">
        <f>YEAR(Table1[[#This Row],[Customer_Since]])</f>
        <v>2023</v>
      </c>
      <c r="Q158" s="1"/>
      <c r="R158" s="1"/>
      <c r="S158" s="1"/>
      <c r="T158" s="1"/>
      <c r="U158" s="1"/>
      <c r="V158" s="1"/>
      <c r="W158" s="1"/>
      <c r="X158" s="1"/>
      <c r="Y158" s="1"/>
      <c r="Z158" s="1"/>
    </row>
    <row r="159" spans="1:26" ht="15" thickBot="1" x14ac:dyDescent="0.35">
      <c r="A159" s="18" t="s">
        <v>300</v>
      </c>
      <c r="B159" s="4">
        <v>45629</v>
      </c>
      <c r="C159" s="1" t="s">
        <v>252</v>
      </c>
      <c r="D159" s="1" t="s">
        <v>253</v>
      </c>
      <c r="E159" s="1" t="s">
        <v>17</v>
      </c>
      <c r="F159" s="1" t="s">
        <v>18</v>
      </c>
      <c r="G159" s="1" t="s">
        <v>19</v>
      </c>
      <c r="H159" s="5">
        <v>4</v>
      </c>
      <c r="I159" s="5">
        <v>249.99</v>
      </c>
      <c r="J159" s="1" t="s">
        <v>34</v>
      </c>
      <c r="K159" s="1" t="s">
        <v>63</v>
      </c>
      <c r="L159" s="1" t="s">
        <v>27</v>
      </c>
      <c r="M159" s="4">
        <v>45098</v>
      </c>
      <c r="N159" s="19">
        <v>999.96</v>
      </c>
      <c r="O159" s="1">
        <f>MONTH(Table1[[#This Row],[Customer_Since]])</f>
        <v>6</v>
      </c>
      <c r="P159" s="1">
        <f>YEAR(Table1[[#This Row],[Customer_Since]])</f>
        <v>2023</v>
      </c>
      <c r="Q159" s="1"/>
      <c r="R159" s="1"/>
      <c r="S159" s="1"/>
      <c r="T159" s="1"/>
      <c r="U159" s="1"/>
      <c r="V159" s="1"/>
      <c r="W159" s="1"/>
      <c r="X159" s="1"/>
      <c r="Y159" s="1"/>
      <c r="Z159" s="1"/>
    </row>
    <row r="160" spans="1:26" ht="15" thickBot="1" x14ac:dyDescent="0.35">
      <c r="A160" s="18" t="s">
        <v>301</v>
      </c>
      <c r="B160" s="4">
        <v>45630</v>
      </c>
      <c r="C160" s="1" t="s">
        <v>48</v>
      </c>
      <c r="D160" s="1" t="s">
        <v>49</v>
      </c>
      <c r="E160" s="1" t="s">
        <v>80</v>
      </c>
      <c r="F160" s="1" t="s">
        <v>81</v>
      </c>
      <c r="G160" s="1" t="s">
        <v>19</v>
      </c>
      <c r="H160" s="5">
        <v>4</v>
      </c>
      <c r="I160" s="5">
        <v>699.99</v>
      </c>
      <c r="J160" s="1" t="s">
        <v>26</v>
      </c>
      <c r="K160" s="1" t="s">
        <v>40</v>
      </c>
      <c r="L160" s="1" t="s">
        <v>27</v>
      </c>
      <c r="M160" s="4">
        <v>44703</v>
      </c>
      <c r="N160" s="19">
        <v>2799.96</v>
      </c>
      <c r="O160" s="1">
        <f>MONTH(Table1[[#This Row],[Customer_Since]])</f>
        <v>5</v>
      </c>
      <c r="P160" s="1">
        <f>YEAR(Table1[[#This Row],[Customer_Since]])</f>
        <v>2022</v>
      </c>
      <c r="Q160" s="1"/>
      <c r="R160" s="1"/>
      <c r="S160" s="1"/>
      <c r="T160" s="1"/>
      <c r="U160" s="1"/>
      <c r="V160" s="1"/>
      <c r="W160" s="1"/>
      <c r="X160" s="1"/>
      <c r="Y160" s="1"/>
      <c r="Z160" s="1"/>
    </row>
    <row r="161" spans="1:26" ht="15" thickBot="1" x14ac:dyDescent="0.35">
      <c r="A161" s="18" t="s">
        <v>302</v>
      </c>
      <c r="B161" s="4">
        <v>45635</v>
      </c>
      <c r="C161" s="1" t="s">
        <v>108</v>
      </c>
      <c r="D161" s="1" t="s">
        <v>109</v>
      </c>
      <c r="E161" s="1" t="s">
        <v>17</v>
      </c>
      <c r="F161" s="1" t="s">
        <v>18</v>
      </c>
      <c r="G161" s="1" t="s">
        <v>19</v>
      </c>
      <c r="H161" s="5">
        <v>2</v>
      </c>
      <c r="I161" s="5">
        <v>249.99</v>
      </c>
      <c r="J161" s="1" t="s">
        <v>26</v>
      </c>
      <c r="K161" s="1" t="s">
        <v>21</v>
      </c>
      <c r="L161" s="1" t="s">
        <v>27</v>
      </c>
      <c r="M161" s="4">
        <v>44396</v>
      </c>
      <c r="N161" s="19">
        <v>499.98</v>
      </c>
      <c r="O161" s="1">
        <f>MONTH(Table1[[#This Row],[Customer_Since]])</f>
        <v>7</v>
      </c>
      <c r="P161" s="1">
        <f>YEAR(Table1[[#This Row],[Customer_Since]])</f>
        <v>2021</v>
      </c>
      <c r="Q161" s="1"/>
      <c r="R161" s="1"/>
      <c r="S161" s="1"/>
      <c r="T161" s="1"/>
      <c r="U161" s="1"/>
      <c r="V161" s="1"/>
      <c r="W161" s="1"/>
      <c r="X161" s="1"/>
      <c r="Y161" s="1"/>
      <c r="Z161" s="1"/>
    </row>
    <row r="162" spans="1:26" ht="15" thickBot="1" x14ac:dyDescent="0.35">
      <c r="A162" s="18" t="s">
        <v>303</v>
      </c>
      <c r="B162" s="4">
        <v>45635</v>
      </c>
      <c r="C162" s="1" t="s">
        <v>304</v>
      </c>
      <c r="D162" s="1" t="s">
        <v>305</v>
      </c>
      <c r="E162" s="1" t="s">
        <v>31</v>
      </c>
      <c r="F162" s="1" t="s">
        <v>32</v>
      </c>
      <c r="G162" s="1" t="s">
        <v>33</v>
      </c>
      <c r="H162" s="5">
        <v>3</v>
      </c>
      <c r="I162" s="5">
        <v>59.99</v>
      </c>
      <c r="J162" s="1" t="s">
        <v>20</v>
      </c>
      <c r="K162" s="1" t="s">
        <v>21</v>
      </c>
      <c r="L162" s="1" t="s">
        <v>27</v>
      </c>
      <c r="M162" s="4">
        <v>45052</v>
      </c>
      <c r="N162" s="19">
        <v>179.97</v>
      </c>
      <c r="O162" s="1">
        <f>MONTH(Table1[[#This Row],[Customer_Since]])</f>
        <v>5</v>
      </c>
      <c r="P162" s="1">
        <f>YEAR(Table1[[#This Row],[Customer_Since]])</f>
        <v>2023</v>
      </c>
      <c r="Q162" s="1"/>
      <c r="R162" s="1"/>
      <c r="S162" s="1"/>
      <c r="T162" s="1"/>
      <c r="U162" s="1"/>
      <c r="V162" s="1"/>
      <c r="W162" s="1"/>
      <c r="X162" s="1"/>
      <c r="Y162" s="1"/>
      <c r="Z162" s="1"/>
    </row>
    <row r="163" spans="1:26" ht="15" thickBot="1" x14ac:dyDescent="0.35">
      <c r="A163" s="18" t="s">
        <v>306</v>
      </c>
      <c r="B163" s="4">
        <v>45635</v>
      </c>
      <c r="C163" s="1" t="s">
        <v>141</v>
      </c>
      <c r="D163" s="1" t="s">
        <v>142</v>
      </c>
      <c r="E163" s="1" t="s">
        <v>114</v>
      </c>
      <c r="F163" s="1" t="s">
        <v>115</v>
      </c>
      <c r="G163" s="1" t="s">
        <v>33</v>
      </c>
      <c r="H163" s="5">
        <v>4</v>
      </c>
      <c r="I163" s="5">
        <v>79.989999999999995</v>
      </c>
      <c r="J163" s="1" t="s">
        <v>57</v>
      </c>
      <c r="K163" s="1" t="s">
        <v>63</v>
      </c>
      <c r="L163" s="1" t="s">
        <v>36</v>
      </c>
      <c r="M163" s="4">
        <v>44921</v>
      </c>
      <c r="N163" s="19">
        <v>319.95999999999998</v>
      </c>
      <c r="O163" s="1">
        <f>MONTH(Table1[[#This Row],[Customer_Since]])</f>
        <v>12</v>
      </c>
      <c r="P163" s="1">
        <f>YEAR(Table1[[#This Row],[Customer_Since]])</f>
        <v>2022</v>
      </c>
      <c r="Q163" s="1"/>
      <c r="R163" s="1"/>
      <c r="S163" s="1"/>
      <c r="T163" s="1"/>
      <c r="U163" s="1"/>
      <c r="V163" s="1"/>
      <c r="W163" s="1"/>
      <c r="X163" s="1"/>
      <c r="Y163" s="1"/>
      <c r="Z163" s="1"/>
    </row>
    <row r="164" spans="1:26" ht="15" thickBot="1" x14ac:dyDescent="0.35">
      <c r="A164" s="18" t="s">
        <v>307</v>
      </c>
      <c r="B164" s="4">
        <v>45636</v>
      </c>
      <c r="C164" s="1" t="s">
        <v>120</v>
      </c>
      <c r="D164" s="1" t="s">
        <v>121</v>
      </c>
      <c r="E164" s="1" t="s">
        <v>114</v>
      </c>
      <c r="F164" s="1" t="s">
        <v>115</v>
      </c>
      <c r="G164" s="1" t="s">
        <v>33</v>
      </c>
      <c r="H164" s="5">
        <v>3</v>
      </c>
      <c r="I164" s="5">
        <v>79.989999999999995</v>
      </c>
      <c r="J164" s="1" t="s">
        <v>57</v>
      </c>
      <c r="K164" s="1" t="s">
        <v>63</v>
      </c>
      <c r="L164" s="1" t="s">
        <v>36</v>
      </c>
      <c r="M164" s="4">
        <v>44779</v>
      </c>
      <c r="N164" s="19">
        <v>239.97</v>
      </c>
      <c r="O164" s="1">
        <f>MONTH(Table1[[#This Row],[Customer_Since]])</f>
        <v>8</v>
      </c>
      <c r="P164" s="1">
        <f>YEAR(Table1[[#This Row],[Customer_Since]])</f>
        <v>2022</v>
      </c>
      <c r="Q164" s="1"/>
      <c r="R164" s="1"/>
      <c r="S164" s="1"/>
      <c r="T164" s="1"/>
      <c r="U164" s="1"/>
      <c r="V164" s="1"/>
      <c r="W164" s="1"/>
      <c r="X164" s="1"/>
      <c r="Y164" s="1"/>
      <c r="Z164" s="1"/>
    </row>
    <row r="165" spans="1:26" ht="15" thickBot="1" x14ac:dyDescent="0.35">
      <c r="A165" s="18" t="s">
        <v>308</v>
      </c>
      <c r="B165" s="4">
        <v>45638</v>
      </c>
      <c r="C165" s="1" t="s">
        <v>72</v>
      </c>
      <c r="D165" s="1" t="s">
        <v>73</v>
      </c>
      <c r="E165" s="1" t="s">
        <v>61</v>
      </c>
      <c r="F165" s="1" t="s">
        <v>62</v>
      </c>
      <c r="G165" s="1" t="s">
        <v>19</v>
      </c>
      <c r="H165" s="5">
        <v>2</v>
      </c>
      <c r="I165" s="5">
        <v>899.99</v>
      </c>
      <c r="J165" s="1" t="s">
        <v>20</v>
      </c>
      <c r="K165" s="1" t="s">
        <v>40</v>
      </c>
      <c r="L165" s="1" t="s">
        <v>22</v>
      </c>
      <c r="M165" s="4">
        <v>44406</v>
      </c>
      <c r="N165" s="19">
        <v>1799.98</v>
      </c>
      <c r="O165" s="1">
        <f>MONTH(Table1[[#This Row],[Customer_Since]])</f>
        <v>7</v>
      </c>
      <c r="P165" s="1">
        <f>YEAR(Table1[[#This Row],[Customer_Since]])</f>
        <v>2021</v>
      </c>
      <c r="Q165" s="1"/>
      <c r="R165" s="1"/>
      <c r="S165" s="1"/>
      <c r="T165" s="1"/>
      <c r="U165" s="1"/>
      <c r="V165" s="1"/>
      <c r="W165" s="1"/>
      <c r="X165" s="1"/>
      <c r="Y165" s="1"/>
      <c r="Z165" s="1"/>
    </row>
    <row r="166" spans="1:26" ht="15" thickBot="1" x14ac:dyDescent="0.35">
      <c r="A166" s="18" t="s">
        <v>309</v>
      </c>
      <c r="B166" s="4">
        <v>45641</v>
      </c>
      <c r="C166" s="1" t="s">
        <v>182</v>
      </c>
      <c r="D166" s="1" t="s">
        <v>183</v>
      </c>
      <c r="E166" s="1" t="s">
        <v>44</v>
      </c>
      <c r="F166" s="1" t="s">
        <v>45</v>
      </c>
      <c r="G166" s="1" t="s">
        <v>46</v>
      </c>
      <c r="H166" s="5">
        <v>1</v>
      </c>
      <c r="I166" s="5">
        <v>149.99</v>
      </c>
      <c r="J166" s="1" t="s">
        <v>57</v>
      </c>
      <c r="K166" s="1" t="s">
        <v>63</v>
      </c>
      <c r="L166" s="1" t="s">
        <v>36</v>
      </c>
      <c r="M166" s="4">
        <v>45200</v>
      </c>
      <c r="N166" s="19">
        <v>149.99</v>
      </c>
      <c r="O166" s="1">
        <f>MONTH(Table1[[#This Row],[Customer_Since]])</f>
        <v>10</v>
      </c>
      <c r="P166" s="1">
        <f>YEAR(Table1[[#This Row],[Customer_Since]])</f>
        <v>2023</v>
      </c>
      <c r="Q166" s="1"/>
      <c r="R166" s="1"/>
      <c r="S166" s="1"/>
      <c r="T166" s="1"/>
      <c r="U166" s="1"/>
      <c r="V166" s="1"/>
      <c r="W166" s="1"/>
      <c r="X166" s="1"/>
      <c r="Y166" s="1"/>
      <c r="Z166" s="1"/>
    </row>
    <row r="167" spans="1:26" ht="15" thickBot="1" x14ac:dyDescent="0.35">
      <c r="A167" s="18" t="s">
        <v>310</v>
      </c>
      <c r="B167" s="4">
        <v>45641</v>
      </c>
      <c r="C167" s="1" t="s">
        <v>138</v>
      </c>
      <c r="D167" s="1" t="s">
        <v>139</v>
      </c>
      <c r="E167" s="1" t="s">
        <v>105</v>
      </c>
      <c r="F167" s="1" t="s">
        <v>106</v>
      </c>
      <c r="G167" s="1" t="s">
        <v>46</v>
      </c>
      <c r="H167" s="5">
        <v>2</v>
      </c>
      <c r="I167" s="5">
        <v>299.99</v>
      </c>
      <c r="J167" s="1" t="s">
        <v>20</v>
      </c>
      <c r="K167" s="1" t="s">
        <v>63</v>
      </c>
      <c r="L167" s="1" t="s">
        <v>27</v>
      </c>
      <c r="M167" s="4">
        <v>44724</v>
      </c>
      <c r="N167" s="19">
        <v>599.98</v>
      </c>
      <c r="O167" s="1">
        <f>MONTH(Table1[[#This Row],[Customer_Since]])</f>
        <v>6</v>
      </c>
      <c r="P167" s="1">
        <f>YEAR(Table1[[#This Row],[Customer_Since]])</f>
        <v>2022</v>
      </c>
      <c r="Q167" s="1"/>
      <c r="R167" s="1"/>
      <c r="S167" s="1"/>
      <c r="T167" s="1"/>
      <c r="U167" s="1"/>
      <c r="V167" s="1"/>
      <c r="W167" s="1"/>
      <c r="X167" s="1"/>
      <c r="Y167" s="1"/>
      <c r="Z167" s="1"/>
    </row>
    <row r="168" spans="1:26" ht="15" thickBot="1" x14ac:dyDescent="0.35">
      <c r="A168" s="18" t="s">
        <v>311</v>
      </c>
      <c r="B168" s="4">
        <v>45644</v>
      </c>
      <c r="C168" s="1" t="s">
        <v>132</v>
      </c>
      <c r="D168" s="1" t="s">
        <v>133</v>
      </c>
      <c r="E168" s="1" t="s">
        <v>31</v>
      </c>
      <c r="F168" s="1" t="s">
        <v>32</v>
      </c>
      <c r="G168" s="1" t="s">
        <v>33</v>
      </c>
      <c r="H168" s="5">
        <v>2</v>
      </c>
      <c r="I168" s="5">
        <v>59.99</v>
      </c>
      <c r="J168" s="1" t="s">
        <v>20</v>
      </c>
      <c r="K168" s="1" t="s">
        <v>50</v>
      </c>
      <c r="L168" s="1" t="s">
        <v>22</v>
      </c>
      <c r="M168" s="4">
        <v>45191</v>
      </c>
      <c r="N168" s="19">
        <v>119.98</v>
      </c>
      <c r="O168" s="1">
        <f>MONTH(Table1[[#This Row],[Customer_Since]])</f>
        <v>9</v>
      </c>
      <c r="P168" s="1">
        <f>YEAR(Table1[[#This Row],[Customer_Since]])</f>
        <v>2023</v>
      </c>
      <c r="Q168" s="1"/>
      <c r="R168" s="1"/>
      <c r="S168" s="1"/>
      <c r="T168" s="1"/>
      <c r="U168" s="1"/>
      <c r="V168" s="1"/>
      <c r="W168" s="1"/>
      <c r="X168" s="1"/>
      <c r="Y168" s="1"/>
      <c r="Z168" s="1"/>
    </row>
    <row r="169" spans="1:26" ht="15" thickBot="1" x14ac:dyDescent="0.35">
      <c r="A169" s="18" t="s">
        <v>312</v>
      </c>
      <c r="B169" s="4">
        <v>45645</v>
      </c>
      <c r="C169" s="1" t="s">
        <v>182</v>
      </c>
      <c r="D169" s="1" t="s">
        <v>183</v>
      </c>
      <c r="E169" s="1" t="s">
        <v>117</v>
      </c>
      <c r="F169" s="1" t="s">
        <v>118</v>
      </c>
      <c r="G169" s="1" t="s">
        <v>19</v>
      </c>
      <c r="H169" s="5">
        <v>1</v>
      </c>
      <c r="I169" s="5">
        <v>89.99</v>
      </c>
      <c r="J169" s="1" t="s">
        <v>57</v>
      </c>
      <c r="K169" s="1" t="s">
        <v>21</v>
      </c>
      <c r="L169" s="1" t="s">
        <v>36</v>
      </c>
      <c r="M169" s="4">
        <v>44760</v>
      </c>
      <c r="N169" s="19">
        <v>89.99</v>
      </c>
      <c r="O169" s="1">
        <f>MONTH(Table1[[#This Row],[Customer_Since]])</f>
        <v>7</v>
      </c>
      <c r="P169" s="1">
        <f>YEAR(Table1[[#This Row],[Customer_Since]])</f>
        <v>2022</v>
      </c>
      <c r="Q169" s="1"/>
      <c r="R169" s="1"/>
      <c r="S169" s="1"/>
      <c r="T169" s="1"/>
      <c r="U169" s="1"/>
      <c r="V169" s="1"/>
      <c r="W169" s="1"/>
      <c r="X169" s="1"/>
      <c r="Y169" s="1"/>
      <c r="Z169" s="1"/>
    </row>
    <row r="170" spans="1:26" ht="15" thickBot="1" x14ac:dyDescent="0.35">
      <c r="A170" s="18" t="s">
        <v>313</v>
      </c>
      <c r="B170" s="4">
        <v>45645</v>
      </c>
      <c r="C170" s="1" t="s">
        <v>147</v>
      </c>
      <c r="D170" s="1" t="s">
        <v>148</v>
      </c>
      <c r="E170" s="1" t="s">
        <v>61</v>
      </c>
      <c r="F170" s="1" t="s">
        <v>62</v>
      </c>
      <c r="G170" s="1" t="s">
        <v>19</v>
      </c>
      <c r="H170" s="5">
        <v>5</v>
      </c>
      <c r="I170" s="5">
        <v>899.99</v>
      </c>
      <c r="J170" s="1" t="s">
        <v>57</v>
      </c>
      <c r="K170" s="1" t="s">
        <v>63</v>
      </c>
      <c r="L170" s="1" t="s">
        <v>36</v>
      </c>
      <c r="M170" s="4">
        <v>44625</v>
      </c>
      <c r="N170" s="19">
        <v>4499.95</v>
      </c>
      <c r="O170" s="1">
        <f>MONTH(Table1[[#This Row],[Customer_Since]])</f>
        <v>3</v>
      </c>
      <c r="P170" s="1">
        <f>YEAR(Table1[[#This Row],[Customer_Since]])</f>
        <v>2022</v>
      </c>
      <c r="Q170" s="1"/>
      <c r="R170" s="1"/>
      <c r="S170" s="1"/>
      <c r="T170" s="1"/>
      <c r="U170" s="1"/>
      <c r="V170" s="1"/>
      <c r="W170" s="1"/>
      <c r="X170" s="1"/>
      <c r="Y170" s="1"/>
      <c r="Z170" s="1"/>
    </row>
    <row r="171" spans="1:26" ht="15" thickBot="1" x14ac:dyDescent="0.35">
      <c r="A171" s="18" t="s">
        <v>314</v>
      </c>
      <c r="B171" s="4">
        <v>45646</v>
      </c>
      <c r="C171" s="1" t="s">
        <v>42</v>
      </c>
      <c r="D171" s="1" t="s">
        <v>43</v>
      </c>
      <c r="E171" s="1" t="s">
        <v>44</v>
      </c>
      <c r="F171" s="1" t="s">
        <v>45</v>
      </c>
      <c r="G171" s="1" t="s">
        <v>46</v>
      </c>
      <c r="H171" s="5">
        <v>2</v>
      </c>
      <c r="I171" s="5">
        <v>149.99</v>
      </c>
      <c r="J171" s="1" t="s">
        <v>20</v>
      </c>
      <c r="K171" s="1" t="s">
        <v>35</v>
      </c>
      <c r="L171" s="1" t="s">
        <v>22</v>
      </c>
      <c r="M171" s="4">
        <v>45239</v>
      </c>
      <c r="N171" s="19">
        <v>299.98</v>
      </c>
      <c r="O171" s="1">
        <f>MONTH(Table1[[#This Row],[Customer_Since]])</f>
        <v>11</v>
      </c>
      <c r="P171" s="1">
        <f>YEAR(Table1[[#This Row],[Customer_Since]])</f>
        <v>2023</v>
      </c>
      <c r="Q171" s="1"/>
      <c r="R171" s="1"/>
      <c r="S171" s="1"/>
      <c r="T171" s="1"/>
      <c r="U171" s="1"/>
      <c r="V171" s="1"/>
      <c r="W171" s="1"/>
      <c r="X171" s="1"/>
      <c r="Y171" s="1"/>
      <c r="Z171" s="1"/>
    </row>
    <row r="172" spans="1:26" ht="15" thickBot="1" x14ac:dyDescent="0.35">
      <c r="A172" s="18" t="s">
        <v>315</v>
      </c>
      <c r="B172" s="4">
        <v>45648</v>
      </c>
      <c r="C172" s="1" t="s">
        <v>112</v>
      </c>
      <c r="D172" s="1" t="s">
        <v>113</v>
      </c>
      <c r="E172" s="1" t="s">
        <v>52</v>
      </c>
      <c r="F172" s="1" t="s">
        <v>53</v>
      </c>
      <c r="G172" s="1" t="s">
        <v>19</v>
      </c>
      <c r="H172" s="5">
        <v>2</v>
      </c>
      <c r="I172" s="5">
        <v>149.99</v>
      </c>
      <c r="J172" s="1" t="s">
        <v>57</v>
      </c>
      <c r="K172" s="1" t="s">
        <v>50</v>
      </c>
      <c r="L172" s="1" t="s">
        <v>27</v>
      </c>
      <c r="M172" s="4">
        <v>45280</v>
      </c>
      <c r="N172" s="19">
        <v>299.98</v>
      </c>
      <c r="O172" s="1">
        <f>MONTH(Table1[[#This Row],[Customer_Since]])</f>
        <v>12</v>
      </c>
      <c r="P172" s="1">
        <f>YEAR(Table1[[#This Row],[Customer_Since]])</f>
        <v>2023</v>
      </c>
      <c r="Q172" s="1"/>
      <c r="R172" s="1"/>
      <c r="S172" s="1"/>
      <c r="T172" s="1"/>
      <c r="U172" s="1"/>
      <c r="V172" s="1"/>
      <c r="W172" s="1"/>
      <c r="X172" s="1"/>
      <c r="Y172" s="1"/>
      <c r="Z172" s="1"/>
    </row>
    <row r="173" spans="1:26" ht="15" thickBot="1" x14ac:dyDescent="0.35">
      <c r="A173" s="18" t="s">
        <v>316</v>
      </c>
      <c r="B173" s="4">
        <v>45648</v>
      </c>
      <c r="C173" s="1" t="s">
        <v>182</v>
      </c>
      <c r="D173" s="1" t="s">
        <v>183</v>
      </c>
      <c r="E173" s="1" t="s">
        <v>44</v>
      </c>
      <c r="F173" s="1" t="s">
        <v>45</v>
      </c>
      <c r="G173" s="1" t="s">
        <v>46</v>
      </c>
      <c r="H173" s="5">
        <v>3</v>
      </c>
      <c r="I173" s="5">
        <v>149.99</v>
      </c>
      <c r="J173" s="1" t="s">
        <v>57</v>
      </c>
      <c r="K173" s="1" t="s">
        <v>40</v>
      </c>
      <c r="L173" s="1" t="s">
        <v>36</v>
      </c>
      <c r="M173" s="4">
        <v>44522</v>
      </c>
      <c r="N173" s="19">
        <v>449.97</v>
      </c>
      <c r="O173" s="1">
        <f>MONTH(Table1[[#This Row],[Customer_Since]])</f>
        <v>11</v>
      </c>
      <c r="P173" s="1">
        <f>YEAR(Table1[[#This Row],[Customer_Since]])</f>
        <v>2021</v>
      </c>
      <c r="Q173" s="1"/>
      <c r="R173" s="1"/>
      <c r="S173" s="1"/>
      <c r="T173" s="1"/>
      <c r="U173" s="1"/>
      <c r="V173" s="1"/>
      <c r="W173" s="1"/>
      <c r="X173" s="1"/>
      <c r="Y173" s="1"/>
      <c r="Z173" s="1"/>
    </row>
    <row r="174" spans="1:26" ht="15" thickBot="1" x14ac:dyDescent="0.35">
      <c r="A174" s="18" t="s">
        <v>317</v>
      </c>
      <c r="B174" s="4">
        <v>45649</v>
      </c>
      <c r="C174" s="1" t="s">
        <v>29</v>
      </c>
      <c r="D174" s="1" t="s">
        <v>30</v>
      </c>
      <c r="E174" s="1" t="s">
        <v>105</v>
      </c>
      <c r="F174" s="1" t="s">
        <v>106</v>
      </c>
      <c r="G174" s="1" t="s">
        <v>46</v>
      </c>
      <c r="H174" s="5">
        <v>2</v>
      </c>
      <c r="I174" s="5">
        <v>299.99</v>
      </c>
      <c r="J174" s="1" t="s">
        <v>34</v>
      </c>
      <c r="K174" s="1" t="s">
        <v>35</v>
      </c>
      <c r="L174" s="1" t="s">
        <v>22</v>
      </c>
      <c r="M174" s="4">
        <v>44721</v>
      </c>
      <c r="N174" s="19">
        <v>599.98</v>
      </c>
      <c r="O174" s="1">
        <f>MONTH(Table1[[#This Row],[Customer_Since]])</f>
        <v>6</v>
      </c>
      <c r="P174" s="1">
        <f>YEAR(Table1[[#This Row],[Customer_Since]])</f>
        <v>2022</v>
      </c>
      <c r="Q174" s="1"/>
      <c r="R174" s="1"/>
      <c r="S174" s="1"/>
      <c r="T174" s="1"/>
      <c r="U174" s="1"/>
      <c r="V174" s="1"/>
      <c r="W174" s="1"/>
      <c r="X174" s="1"/>
      <c r="Y174" s="1"/>
      <c r="Z174" s="1"/>
    </row>
    <row r="175" spans="1:26" ht="15" thickBot="1" x14ac:dyDescent="0.35">
      <c r="A175" s="18" t="s">
        <v>318</v>
      </c>
      <c r="B175" s="4">
        <v>45654</v>
      </c>
      <c r="C175" s="1" t="s">
        <v>42</v>
      </c>
      <c r="D175" s="1" t="s">
        <v>43</v>
      </c>
      <c r="E175" s="1" t="s">
        <v>105</v>
      </c>
      <c r="F175" s="1" t="s">
        <v>106</v>
      </c>
      <c r="G175" s="1" t="s">
        <v>46</v>
      </c>
      <c r="H175" s="5">
        <v>2</v>
      </c>
      <c r="I175" s="5">
        <v>299.99</v>
      </c>
      <c r="J175" s="1" t="s">
        <v>20</v>
      </c>
      <c r="K175" s="1" t="s">
        <v>50</v>
      </c>
      <c r="L175" s="1" t="s">
        <v>22</v>
      </c>
      <c r="M175" s="4">
        <v>44771</v>
      </c>
      <c r="N175" s="19">
        <v>599.98</v>
      </c>
      <c r="O175" s="1">
        <f>MONTH(Table1[[#This Row],[Customer_Since]])</f>
        <v>7</v>
      </c>
      <c r="P175" s="1">
        <f>YEAR(Table1[[#This Row],[Customer_Since]])</f>
        <v>2022</v>
      </c>
      <c r="Q175" s="1"/>
      <c r="R175" s="1"/>
      <c r="S175" s="1"/>
      <c r="T175" s="1"/>
      <c r="U175" s="1"/>
      <c r="V175" s="1"/>
      <c r="W175" s="1"/>
      <c r="X175" s="1"/>
      <c r="Y175" s="1"/>
      <c r="Z175" s="1"/>
    </row>
    <row r="176" spans="1:26" ht="15" thickBot="1" x14ac:dyDescent="0.35">
      <c r="A176" s="18" t="s">
        <v>319</v>
      </c>
      <c r="B176" s="4">
        <v>45654</v>
      </c>
      <c r="C176" s="1" t="s">
        <v>120</v>
      </c>
      <c r="D176" s="1" t="s">
        <v>121</v>
      </c>
      <c r="E176" s="1" t="s">
        <v>126</v>
      </c>
      <c r="F176" s="1" t="s">
        <v>127</v>
      </c>
      <c r="G176" s="1" t="s">
        <v>46</v>
      </c>
      <c r="H176" s="5">
        <v>4</v>
      </c>
      <c r="I176" s="5">
        <v>199.99</v>
      </c>
      <c r="J176" s="1" t="s">
        <v>26</v>
      </c>
      <c r="K176" s="1" t="s">
        <v>21</v>
      </c>
      <c r="L176" s="1" t="s">
        <v>22</v>
      </c>
      <c r="M176" s="4">
        <v>44523</v>
      </c>
      <c r="N176" s="19">
        <v>799.96</v>
      </c>
      <c r="O176" s="1">
        <f>MONTH(Table1[[#This Row],[Customer_Since]])</f>
        <v>11</v>
      </c>
      <c r="P176" s="1">
        <f>YEAR(Table1[[#This Row],[Customer_Since]])</f>
        <v>2021</v>
      </c>
      <c r="Q176" s="1"/>
      <c r="R176" s="1"/>
      <c r="S176" s="1"/>
      <c r="T176" s="1"/>
      <c r="U176" s="1"/>
      <c r="V176" s="1"/>
      <c r="W176" s="1"/>
      <c r="X176" s="1"/>
      <c r="Y176" s="1"/>
      <c r="Z176" s="1"/>
    </row>
    <row r="177" spans="1:26" ht="15" thickBot="1" x14ac:dyDescent="0.35">
      <c r="A177" s="18" t="s">
        <v>320</v>
      </c>
      <c r="B177" s="4">
        <v>45655</v>
      </c>
      <c r="C177" s="1" t="s">
        <v>59</v>
      </c>
      <c r="D177" s="1" t="s">
        <v>60</v>
      </c>
      <c r="E177" s="1" t="s">
        <v>117</v>
      </c>
      <c r="F177" s="1" t="s">
        <v>118</v>
      </c>
      <c r="G177" s="1" t="s">
        <v>19</v>
      </c>
      <c r="H177" s="5">
        <v>1</v>
      </c>
      <c r="I177" s="5">
        <v>89.99</v>
      </c>
      <c r="J177" s="1" t="s">
        <v>26</v>
      </c>
      <c r="K177" s="1" t="s">
        <v>35</v>
      </c>
      <c r="L177" s="1" t="s">
        <v>27</v>
      </c>
      <c r="M177" s="4">
        <v>44591</v>
      </c>
      <c r="N177" s="19">
        <v>89.99</v>
      </c>
      <c r="O177" s="1">
        <f>MONTH(Table1[[#This Row],[Customer_Since]])</f>
        <v>1</v>
      </c>
      <c r="P177" s="1">
        <f>YEAR(Table1[[#This Row],[Customer_Since]])</f>
        <v>2022</v>
      </c>
      <c r="Q177" s="1"/>
      <c r="R177" s="1"/>
      <c r="S177" s="1"/>
      <c r="T177" s="1"/>
      <c r="U177" s="1"/>
      <c r="V177" s="1"/>
      <c r="W177" s="1"/>
      <c r="X177" s="1"/>
      <c r="Y177" s="1"/>
      <c r="Z177" s="1"/>
    </row>
    <row r="178" spans="1:26" ht="15" thickBot="1" x14ac:dyDescent="0.35">
      <c r="A178" s="18" t="s">
        <v>321</v>
      </c>
      <c r="B178" s="4">
        <v>45655</v>
      </c>
      <c r="C178" s="1" t="s">
        <v>108</v>
      </c>
      <c r="D178" s="1" t="s">
        <v>109</v>
      </c>
      <c r="E178" s="1" t="s">
        <v>44</v>
      </c>
      <c r="F178" s="1" t="s">
        <v>45</v>
      </c>
      <c r="G178" s="1" t="s">
        <v>46</v>
      </c>
      <c r="H178" s="5">
        <v>5</v>
      </c>
      <c r="I178" s="5">
        <v>149.99</v>
      </c>
      <c r="J178" s="1" t="s">
        <v>20</v>
      </c>
      <c r="K178" s="1" t="s">
        <v>21</v>
      </c>
      <c r="L178" s="1" t="s">
        <v>27</v>
      </c>
      <c r="M178" s="4">
        <v>45347</v>
      </c>
      <c r="N178" s="19">
        <v>749.95</v>
      </c>
      <c r="O178" s="1">
        <f>MONTH(Table1[[#This Row],[Customer_Since]])</f>
        <v>2</v>
      </c>
      <c r="P178" s="1">
        <f>YEAR(Table1[[#This Row],[Customer_Since]])</f>
        <v>2024</v>
      </c>
      <c r="Q178" s="1"/>
      <c r="R178" s="1"/>
      <c r="S178" s="1"/>
      <c r="T178" s="1"/>
      <c r="U178" s="1"/>
      <c r="V178" s="1"/>
      <c r="W178" s="1"/>
      <c r="X178" s="1"/>
      <c r="Y178" s="1"/>
      <c r="Z178" s="1"/>
    </row>
    <row r="179" spans="1:26" ht="15" thickBot="1" x14ac:dyDescent="0.35">
      <c r="A179" s="18" t="s">
        <v>322</v>
      </c>
      <c r="B179" s="4">
        <v>45657</v>
      </c>
      <c r="C179" s="1" t="s">
        <v>86</v>
      </c>
      <c r="D179" s="1" t="s">
        <v>87</v>
      </c>
      <c r="E179" s="1" t="s">
        <v>61</v>
      </c>
      <c r="F179" s="1" t="s">
        <v>62</v>
      </c>
      <c r="G179" s="1" t="s">
        <v>19</v>
      </c>
      <c r="H179" s="5">
        <v>1</v>
      </c>
      <c r="I179" s="5">
        <v>899.99</v>
      </c>
      <c r="J179" s="1" t="s">
        <v>34</v>
      </c>
      <c r="K179" s="1" t="s">
        <v>40</v>
      </c>
      <c r="L179" s="1" t="s">
        <v>27</v>
      </c>
      <c r="M179" s="4">
        <v>45050</v>
      </c>
      <c r="N179" s="19">
        <v>899.99</v>
      </c>
      <c r="O179" s="1">
        <f>MONTH(Table1[[#This Row],[Customer_Since]])</f>
        <v>5</v>
      </c>
      <c r="P179" s="1">
        <f>YEAR(Table1[[#This Row],[Customer_Since]])</f>
        <v>2023</v>
      </c>
      <c r="Q179" s="1"/>
      <c r="R179" s="1"/>
      <c r="S179" s="1"/>
      <c r="T179" s="1"/>
      <c r="U179" s="1"/>
      <c r="V179" s="1"/>
      <c r="W179" s="1"/>
      <c r="X179" s="1"/>
      <c r="Y179" s="1"/>
      <c r="Z179" s="1"/>
    </row>
    <row r="180" spans="1:26" ht="15" thickBot="1" x14ac:dyDescent="0.35">
      <c r="A180" s="18" t="s">
        <v>323</v>
      </c>
      <c r="B180" s="4">
        <v>45660</v>
      </c>
      <c r="C180" s="1" t="s">
        <v>147</v>
      </c>
      <c r="D180" s="1" t="s">
        <v>148</v>
      </c>
      <c r="E180" s="1" t="s">
        <v>117</v>
      </c>
      <c r="F180" s="1" t="s">
        <v>118</v>
      </c>
      <c r="G180" s="1" t="s">
        <v>19</v>
      </c>
      <c r="H180" s="5">
        <v>2</v>
      </c>
      <c r="I180" s="5">
        <v>89.99</v>
      </c>
      <c r="J180" s="1" t="s">
        <v>26</v>
      </c>
      <c r="K180" s="1" t="s">
        <v>35</v>
      </c>
      <c r="L180" s="1" t="s">
        <v>27</v>
      </c>
      <c r="M180" s="4">
        <v>44564</v>
      </c>
      <c r="N180" s="19">
        <v>179.98</v>
      </c>
      <c r="O180" s="1">
        <f>MONTH(Table1[[#This Row],[Customer_Since]])</f>
        <v>1</v>
      </c>
      <c r="P180" s="1">
        <f>YEAR(Table1[[#This Row],[Customer_Since]])</f>
        <v>2022</v>
      </c>
      <c r="Q180" s="1"/>
      <c r="R180" s="1"/>
      <c r="S180" s="1"/>
      <c r="T180" s="1"/>
      <c r="U180" s="1"/>
      <c r="V180" s="1"/>
      <c r="W180" s="1"/>
      <c r="X180" s="1"/>
      <c r="Y180" s="1"/>
      <c r="Z180" s="1"/>
    </row>
    <row r="181" spans="1:26" ht="15" thickBot="1" x14ac:dyDescent="0.35">
      <c r="A181" s="18" t="s">
        <v>324</v>
      </c>
      <c r="B181" s="4">
        <v>45661</v>
      </c>
      <c r="C181" s="1" t="s">
        <v>325</v>
      </c>
      <c r="D181" s="1" t="s">
        <v>326</v>
      </c>
      <c r="E181" s="1" t="s">
        <v>61</v>
      </c>
      <c r="F181" s="1" t="s">
        <v>62</v>
      </c>
      <c r="G181" s="1" t="s">
        <v>19</v>
      </c>
      <c r="H181" s="5">
        <v>1</v>
      </c>
      <c r="I181" s="5">
        <v>899.99</v>
      </c>
      <c r="J181" s="1" t="s">
        <v>34</v>
      </c>
      <c r="K181" s="1" t="s">
        <v>40</v>
      </c>
      <c r="L181" s="1" t="s">
        <v>36</v>
      </c>
      <c r="M181" s="4">
        <v>44752</v>
      </c>
      <c r="N181" s="19">
        <v>899.99</v>
      </c>
      <c r="O181" s="1">
        <f>MONTH(Table1[[#This Row],[Customer_Since]])</f>
        <v>7</v>
      </c>
      <c r="P181" s="1">
        <f>YEAR(Table1[[#This Row],[Customer_Since]])</f>
        <v>2022</v>
      </c>
      <c r="Q181" s="1"/>
      <c r="R181" s="1"/>
      <c r="S181" s="1"/>
      <c r="T181" s="1"/>
      <c r="U181" s="1"/>
      <c r="V181" s="1"/>
      <c r="W181" s="1"/>
      <c r="X181" s="1"/>
      <c r="Y181" s="1"/>
      <c r="Z181" s="1"/>
    </row>
    <row r="182" spans="1:26" ht="15" thickBot="1" x14ac:dyDescent="0.35">
      <c r="A182" s="18" t="s">
        <v>327</v>
      </c>
      <c r="B182" s="4">
        <v>45663</v>
      </c>
      <c r="C182" s="1" t="s">
        <v>129</v>
      </c>
      <c r="D182" s="1" t="s">
        <v>130</v>
      </c>
      <c r="E182" s="1" t="s">
        <v>52</v>
      </c>
      <c r="F182" s="1" t="s">
        <v>53</v>
      </c>
      <c r="G182" s="1" t="s">
        <v>19</v>
      </c>
      <c r="H182" s="5">
        <v>5</v>
      </c>
      <c r="I182" s="5">
        <v>149.99</v>
      </c>
      <c r="J182" s="1" t="s">
        <v>34</v>
      </c>
      <c r="K182" s="1" t="s">
        <v>63</v>
      </c>
      <c r="L182" s="1" t="s">
        <v>27</v>
      </c>
      <c r="M182" s="4">
        <v>44824</v>
      </c>
      <c r="N182" s="19">
        <v>749.95</v>
      </c>
      <c r="O182" s="1">
        <f>MONTH(Table1[[#This Row],[Customer_Since]])</f>
        <v>9</v>
      </c>
      <c r="P182" s="1">
        <f>YEAR(Table1[[#This Row],[Customer_Since]])</f>
        <v>2022</v>
      </c>
      <c r="Q182" s="1"/>
      <c r="R182" s="1"/>
      <c r="S182" s="1"/>
      <c r="T182" s="1"/>
      <c r="U182" s="1"/>
      <c r="V182" s="1"/>
      <c r="W182" s="1"/>
      <c r="X182" s="1"/>
      <c r="Y182" s="1"/>
      <c r="Z182" s="1"/>
    </row>
    <row r="183" spans="1:26" ht="15" thickBot="1" x14ac:dyDescent="0.35">
      <c r="A183" s="18" t="s">
        <v>328</v>
      </c>
      <c r="B183" s="4">
        <v>45663</v>
      </c>
      <c r="C183" s="1" t="s">
        <v>42</v>
      </c>
      <c r="D183" s="1" t="s">
        <v>43</v>
      </c>
      <c r="E183" s="1" t="s">
        <v>105</v>
      </c>
      <c r="F183" s="1" t="s">
        <v>106</v>
      </c>
      <c r="G183" s="1" t="s">
        <v>46</v>
      </c>
      <c r="H183" s="5">
        <v>3</v>
      </c>
      <c r="I183" s="5">
        <v>299.99</v>
      </c>
      <c r="J183" s="1" t="s">
        <v>20</v>
      </c>
      <c r="K183" s="1" t="s">
        <v>35</v>
      </c>
      <c r="L183" s="1" t="s">
        <v>36</v>
      </c>
      <c r="M183" s="4">
        <v>44422</v>
      </c>
      <c r="N183" s="19">
        <v>899.97</v>
      </c>
      <c r="O183" s="1">
        <f>MONTH(Table1[[#This Row],[Customer_Since]])</f>
        <v>8</v>
      </c>
      <c r="P183" s="1">
        <f>YEAR(Table1[[#This Row],[Customer_Since]])</f>
        <v>2021</v>
      </c>
      <c r="Q183" s="1"/>
      <c r="R183" s="1"/>
      <c r="S183" s="1"/>
      <c r="T183" s="1"/>
      <c r="U183" s="1"/>
      <c r="V183" s="1"/>
      <c r="W183" s="1"/>
      <c r="X183" s="1"/>
      <c r="Y183" s="1"/>
      <c r="Z183" s="1"/>
    </row>
    <row r="184" spans="1:26" ht="15" thickBot="1" x14ac:dyDescent="0.35">
      <c r="A184" s="18" t="s">
        <v>329</v>
      </c>
      <c r="B184" s="4">
        <v>45666</v>
      </c>
      <c r="C184" s="1" t="s">
        <v>65</v>
      </c>
      <c r="D184" s="1" t="s">
        <v>66</v>
      </c>
      <c r="E184" s="1" t="s">
        <v>80</v>
      </c>
      <c r="F184" s="1" t="s">
        <v>81</v>
      </c>
      <c r="G184" s="1" t="s">
        <v>19</v>
      </c>
      <c r="H184" s="5">
        <v>3</v>
      </c>
      <c r="I184" s="5">
        <v>699.99</v>
      </c>
      <c r="J184" s="1" t="s">
        <v>26</v>
      </c>
      <c r="K184" s="1" t="s">
        <v>21</v>
      </c>
      <c r="L184" s="1" t="s">
        <v>27</v>
      </c>
      <c r="M184" s="4">
        <v>45105</v>
      </c>
      <c r="N184" s="19">
        <v>2099.9699999999998</v>
      </c>
      <c r="O184" s="1">
        <f>MONTH(Table1[[#This Row],[Customer_Since]])</f>
        <v>6</v>
      </c>
      <c r="P184" s="1">
        <f>YEAR(Table1[[#This Row],[Customer_Since]])</f>
        <v>2023</v>
      </c>
      <c r="Q184" s="1"/>
      <c r="R184" s="1"/>
      <c r="S184" s="1"/>
      <c r="T184" s="1"/>
      <c r="U184" s="1"/>
      <c r="V184" s="1"/>
      <c r="W184" s="1"/>
      <c r="X184" s="1"/>
      <c r="Y184" s="1"/>
      <c r="Z184" s="1"/>
    </row>
    <row r="185" spans="1:26" ht="15" thickBot="1" x14ac:dyDescent="0.35">
      <c r="A185" s="18" t="s">
        <v>330</v>
      </c>
      <c r="B185" s="4">
        <v>45667</v>
      </c>
      <c r="C185" s="1" t="s">
        <v>108</v>
      </c>
      <c r="D185" s="1" t="s">
        <v>109</v>
      </c>
      <c r="E185" s="1" t="s">
        <v>126</v>
      </c>
      <c r="F185" s="1" t="s">
        <v>127</v>
      </c>
      <c r="G185" s="1" t="s">
        <v>46</v>
      </c>
      <c r="H185" s="5">
        <v>5</v>
      </c>
      <c r="I185" s="5">
        <v>199.99</v>
      </c>
      <c r="J185" s="1" t="s">
        <v>34</v>
      </c>
      <c r="K185" s="1" t="s">
        <v>21</v>
      </c>
      <c r="L185" s="1" t="s">
        <v>36</v>
      </c>
      <c r="M185" s="4">
        <v>44633</v>
      </c>
      <c r="N185" s="19">
        <v>999.95</v>
      </c>
      <c r="O185" s="1">
        <f>MONTH(Table1[[#This Row],[Customer_Since]])</f>
        <v>3</v>
      </c>
      <c r="P185" s="1">
        <f>YEAR(Table1[[#This Row],[Customer_Since]])</f>
        <v>2022</v>
      </c>
      <c r="Q185" s="1"/>
      <c r="R185" s="1"/>
      <c r="S185" s="1"/>
      <c r="T185" s="1"/>
      <c r="U185" s="1"/>
      <c r="V185" s="1"/>
      <c r="W185" s="1"/>
      <c r="X185" s="1"/>
      <c r="Y185" s="1"/>
      <c r="Z185" s="1"/>
    </row>
    <row r="186" spans="1:26" ht="15" thickBot="1" x14ac:dyDescent="0.35">
      <c r="A186" s="18" t="s">
        <v>331</v>
      </c>
      <c r="B186" s="4">
        <v>45667</v>
      </c>
      <c r="C186" s="1" t="s">
        <v>93</v>
      </c>
      <c r="D186" s="1" t="s">
        <v>94</v>
      </c>
      <c r="E186" s="1" t="s">
        <v>17</v>
      </c>
      <c r="F186" s="1" t="s">
        <v>18</v>
      </c>
      <c r="G186" s="1" t="s">
        <v>19</v>
      </c>
      <c r="H186" s="5">
        <v>5</v>
      </c>
      <c r="I186" s="5">
        <v>249.99</v>
      </c>
      <c r="J186" s="1" t="s">
        <v>26</v>
      </c>
      <c r="K186" s="1" t="s">
        <v>35</v>
      </c>
      <c r="L186" s="1" t="s">
        <v>22</v>
      </c>
      <c r="M186" s="4">
        <v>45330</v>
      </c>
      <c r="N186" s="19">
        <v>1249.95</v>
      </c>
      <c r="O186" s="1">
        <f>MONTH(Table1[[#This Row],[Customer_Since]])</f>
        <v>2</v>
      </c>
      <c r="P186" s="1">
        <f>YEAR(Table1[[#This Row],[Customer_Since]])</f>
        <v>2024</v>
      </c>
      <c r="Q186" s="1"/>
      <c r="R186" s="1"/>
      <c r="S186" s="1"/>
      <c r="T186" s="1"/>
      <c r="U186" s="1"/>
      <c r="V186" s="1"/>
      <c r="W186" s="1"/>
      <c r="X186" s="1"/>
      <c r="Y186" s="1"/>
      <c r="Z186" s="1"/>
    </row>
    <row r="187" spans="1:26" ht="15" thickBot="1" x14ac:dyDescent="0.35">
      <c r="A187" s="18" t="s">
        <v>332</v>
      </c>
      <c r="B187" s="4">
        <v>45668</v>
      </c>
      <c r="C187" s="1" t="s">
        <v>138</v>
      </c>
      <c r="D187" s="1" t="s">
        <v>139</v>
      </c>
      <c r="E187" s="1" t="s">
        <v>52</v>
      </c>
      <c r="F187" s="1" t="s">
        <v>53</v>
      </c>
      <c r="G187" s="1" t="s">
        <v>19</v>
      </c>
      <c r="H187" s="5">
        <v>4</v>
      </c>
      <c r="I187" s="5">
        <v>149.99</v>
      </c>
      <c r="J187" s="1" t="s">
        <v>57</v>
      </c>
      <c r="K187" s="1" t="s">
        <v>63</v>
      </c>
      <c r="L187" s="1" t="s">
        <v>36</v>
      </c>
      <c r="M187" s="4">
        <v>44536</v>
      </c>
      <c r="N187" s="19">
        <v>599.96</v>
      </c>
      <c r="O187" s="1">
        <f>MONTH(Table1[[#This Row],[Customer_Since]])</f>
        <v>12</v>
      </c>
      <c r="P187" s="1">
        <f>YEAR(Table1[[#This Row],[Customer_Since]])</f>
        <v>2021</v>
      </c>
      <c r="Q187" s="1"/>
      <c r="R187" s="1"/>
      <c r="S187" s="1"/>
      <c r="T187" s="1"/>
      <c r="U187" s="1"/>
      <c r="V187" s="1"/>
      <c r="W187" s="1"/>
      <c r="X187" s="1"/>
      <c r="Y187" s="1"/>
      <c r="Z187" s="1"/>
    </row>
    <row r="188" spans="1:26" ht="15" thickBot="1" x14ac:dyDescent="0.35">
      <c r="A188" s="18" t="s">
        <v>333</v>
      </c>
      <c r="B188" s="4">
        <v>45668</v>
      </c>
      <c r="C188" s="1" t="s">
        <v>78</v>
      </c>
      <c r="D188" s="1" t="s">
        <v>79</v>
      </c>
      <c r="E188" s="1" t="s">
        <v>80</v>
      </c>
      <c r="F188" s="1" t="s">
        <v>81</v>
      </c>
      <c r="G188" s="1" t="s">
        <v>19</v>
      </c>
      <c r="H188" s="5">
        <v>3</v>
      </c>
      <c r="I188" s="5">
        <v>699.99</v>
      </c>
      <c r="J188" s="1" t="s">
        <v>20</v>
      </c>
      <c r="K188" s="1" t="s">
        <v>40</v>
      </c>
      <c r="L188" s="1" t="s">
        <v>27</v>
      </c>
      <c r="M188" s="4">
        <v>44602</v>
      </c>
      <c r="N188" s="19">
        <v>2099.9699999999998</v>
      </c>
      <c r="O188" s="1">
        <f>MONTH(Table1[[#This Row],[Customer_Since]])</f>
        <v>2</v>
      </c>
      <c r="P188" s="1">
        <f>YEAR(Table1[[#This Row],[Customer_Since]])</f>
        <v>2022</v>
      </c>
      <c r="Q188" s="1"/>
      <c r="R188" s="1"/>
      <c r="S188" s="1"/>
      <c r="T188" s="1"/>
      <c r="U188" s="1"/>
      <c r="V188" s="1"/>
      <c r="W188" s="1"/>
      <c r="X188" s="1"/>
      <c r="Y188" s="1"/>
      <c r="Z188" s="1"/>
    </row>
    <row r="189" spans="1:26" ht="15" thickBot="1" x14ac:dyDescent="0.35">
      <c r="A189" s="18" t="s">
        <v>334</v>
      </c>
      <c r="B189" s="4">
        <v>45670</v>
      </c>
      <c r="C189" s="1" t="s">
        <v>293</v>
      </c>
      <c r="D189" s="1" t="s">
        <v>294</v>
      </c>
      <c r="E189" s="1" t="s">
        <v>114</v>
      </c>
      <c r="F189" s="1" t="s">
        <v>115</v>
      </c>
      <c r="G189" s="1" t="s">
        <v>33</v>
      </c>
      <c r="H189" s="5">
        <v>1</v>
      </c>
      <c r="I189" s="5">
        <v>79.989999999999995</v>
      </c>
      <c r="J189" s="1" t="s">
        <v>26</v>
      </c>
      <c r="K189" s="1" t="s">
        <v>35</v>
      </c>
      <c r="L189" s="1" t="s">
        <v>22</v>
      </c>
      <c r="M189" s="4">
        <v>45322</v>
      </c>
      <c r="N189" s="19">
        <v>79.989999999999995</v>
      </c>
      <c r="O189" s="1">
        <f>MONTH(Table1[[#This Row],[Customer_Since]])</f>
        <v>1</v>
      </c>
      <c r="P189" s="1">
        <f>YEAR(Table1[[#This Row],[Customer_Since]])</f>
        <v>2024</v>
      </c>
      <c r="Q189" s="1"/>
      <c r="R189" s="1"/>
      <c r="S189" s="1"/>
      <c r="T189" s="1"/>
      <c r="U189" s="1"/>
      <c r="V189" s="1"/>
      <c r="W189" s="1"/>
      <c r="X189" s="1"/>
      <c r="Y189" s="1"/>
      <c r="Z189" s="1"/>
    </row>
    <row r="190" spans="1:26" ht="15" thickBot="1" x14ac:dyDescent="0.35">
      <c r="A190" s="18" t="s">
        <v>335</v>
      </c>
      <c r="B190" s="4">
        <v>45670</v>
      </c>
      <c r="C190" s="1" t="s">
        <v>86</v>
      </c>
      <c r="D190" s="1" t="s">
        <v>87</v>
      </c>
      <c r="E190" s="1" t="s">
        <v>105</v>
      </c>
      <c r="F190" s="1" t="s">
        <v>106</v>
      </c>
      <c r="G190" s="1" t="s">
        <v>46</v>
      </c>
      <c r="H190" s="5">
        <v>1</v>
      </c>
      <c r="I190" s="5">
        <v>299.99</v>
      </c>
      <c r="J190" s="1" t="s">
        <v>26</v>
      </c>
      <c r="K190" s="1" t="s">
        <v>40</v>
      </c>
      <c r="L190" s="1" t="s">
        <v>22</v>
      </c>
      <c r="M190" s="4">
        <v>44436</v>
      </c>
      <c r="N190" s="19">
        <v>299.99</v>
      </c>
      <c r="O190" s="1">
        <f>MONTH(Table1[[#This Row],[Customer_Since]])</f>
        <v>8</v>
      </c>
      <c r="P190" s="1">
        <f>YEAR(Table1[[#This Row],[Customer_Since]])</f>
        <v>2021</v>
      </c>
      <c r="Q190" s="1"/>
      <c r="R190" s="1"/>
      <c r="S190" s="1"/>
      <c r="T190" s="1"/>
      <c r="U190" s="1"/>
      <c r="V190" s="1"/>
      <c r="W190" s="1"/>
      <c r="X190" s="1"/>
      <c r="Y190" s="1"/>
      <c r="Z190" s="1"/>
    </row>
    <row r="191" spans="1:26" ht="15" thickBot="1" x14ac:dyDescent="0.35">
      <c r="A191" s="18" t="s">
        <v>336</v>
      </c>
      <c r="B191" s="4">
        <v>45671</v>
      </c>
      <c r="C191" s="1" t="s">
        <v>158</v>
      </c>
      <c r="D191" s="1" t="s">
        <v>159</v>
      </c>
      <c r="E191" s="1" t="s">
        <v>17</v>
      </c>
      <c r="F191" s="1" t="s">
        <v>18</v>
      </c>
      <c r="G191" s="1" t="s">
        <v>19</v>
      </c>
      <c r="H191" s="5">
        <v>4</v>
      </c>
      <c r="I191" s="5">
        <v>249.99</v>
      </c>
      <c r="J191" s="1" t="s">
        <v>26</v>
      </c>
      <c r="K191" s="1" t="s">
        <v>40</v>
      </c>
      <c r="L191" s="1" t="s">
        <v>27</v>
      </c>
      <c r="M191" s="4">
        <v>44460</v>
      </c>
      <c r="N191" s="19">
        <v>999.96</v>
      </c>
      <c r="O191" s="1">
        <f>MONTH(Table1[[#This Row],[Customer_Since]])</f>
        <v>9</v>
      </c>
      <c r="P191" s="1">
        <f>YEAR(Table1[[#This Row],[Customer_Since]])</f>
        <v>2021</v>
      </c>
      <c r="Q191" s="1"/>
      <c r="R191" s="1"/>
      <c r="S191" s="1"/>
      <c r="T191" s="1"/>
      <c r="U191" s="1"/>
      <c r="V191" s="1"/>
      <c r="W191" s="1"/>
      <c r="X191" s="1"/>
      <c r="Y191" s="1"/>
      <c r="Z191" s="1"/>
    </row>
    <row r="192" spans="1:26" ht="15" thickBot="1" x14ac:dyDescent="0.35">
      <c r="A192" s="18" t="s">
        <v>337</v>
      </c>
      <c r="B192" s="4">
        <v>45671</v>
      </c>
      <c r="C192" s="1" t="s">
        <v>120</v>
      </c>
      <c r="D192" s="1" t="s">
        <v>121</v>
      </c>
      <c r="E192" s="1" t="s">
        <v>52</v>
      </c>
      <c r="F192" s="1" t="s">
        <v>53</v>
      </c>
      <c r="G192" s="1" t="s">
        <v>19</v>
      </c>
      <c r="H192" s="5">
        <v>2</v>
      </c>
      <c r="I192" s="5">
        <v>149.99</v>
      </c>
      <c r="J192" s="1" t="s">
        <v>20</v>
      </c>
      <c r="K192" s="1" t="s">
        <v>40</v>
      </c>
      <c r="L192" s="1" t="s">
        <v>36</v>
      </c>
      <c r="M192" s="4">
        <v>44913</v>
      </c>
      <c r="N192" s="19">
        <v>299.98</v>
      </c>
      <c r="O192" s="1">
        <f>MONTH(Table1[[#This Row],[Customer_Since]])</f>
        <v>12</v>
      </c>
      <c r="P192" s="1">
        <f>YEAR(Table1[[#This Row],[Customer_Since]])</f>
        <v>2022</v>
      </c>
      <c r="Q192" s="1"/>
      <c r="R192" s="1"/>
      <c r="S192" s="1"/>
      <c r="T192" s="1"/>
      <c r="U192" s="1"/>
      <c r="V192" s="1"/>
      <c r="W192" s="1"/>
      <c r="X192" s="1"/>
      <c r="Y192" s="1"/>
      <c r="Z192" s="1"/>
    </row>
    <row r="193" spans="1:26" ht="15" thickBot="1" x14ac:dyDescent="0.35">
      <c r="A193" s="18" t="s">
        <v>338</v>
      </c>
      <c r="B193" s="4">
        <v>45671</v>
      </c>
      <c r="C193" s="1" t="s">
        <v>234</v>
      </c>
      <c r="D193" s="1" t="s">
        <v>235</v>
      </c>
      <c r="E193" s="1" t="s">
        <v>105</v>
      </c>
      <c r="F193" s="1" t="s">
        <v>106</v>
      </c>
      <c r="G193" s="1" t="s">
        <v>46</v>
      </c>
      <c r="H193" s="5">
        <v>3</v>
      </c>
      <c r="I193" s="5">
        <v>299.99</v>
      </c>
      <c r="J193" s="1" t="s">
        <v>26</v>
      </c>
      <c r="K193" s="1" t="s">
        <v>35</v>
      </c>
      <c r="L193" s="1" t="s">
        <v>22</v>
      </c>
      <c r="M193" s="4">
        <v>45204</v>
      </c>
      <c r="N193" s="19">
        <v>899.97</v>
      </c>
      <c r="O193" s="1">
        <f>MONTH(Table1[[#This Row],[Customer_Since]])</f>
        <v>10</v>
      </c>
      <c r="P193" s="1">
        <f>YEAR(Table1[[#This Row],[Customer_Since]])</f>
        <v>2023</v>
      </c>
      <c r="Q193" s="1"/>
      <c r="R193" s="1"/>
      <c r="S193" s="1"/>
      <c r="T193" s="1"/>
      <c r="U193" s="1"/>
      <c r="V193" s="1"/>
      <c r="W193" s="1"/>
      <c r="X193" s="1"/>
      <c r="Y193" s="1"/>
      <c r="Z193" s="1"/>
    </row>
    <row r="194" spans="1:26" ht="15" thickBot="1" x14ac:dyDescent="0.35">
      <c r="A194" s="18" t="s">
        <v>339</v>
      </c>
      <c r="B194" s="4">
        <v>45673</v>
      </c>
      <c r="C194" s="1" t="s">
        <v>226</v>
      </c>
      <c r="D194" s="1" t="s">
        <v>227</v>
      </c>
      <c r="E194" s="1" t="s">
        <v>126</v>
      </c>
      <c r="F194" s="1" t="s">
        <v>127</v>
      </c>
      <c r="G194" s="1" t="s">
        <v>46</v>
      </c>
      <c r="H194" s="5">
        <v>4</v>
      </c>
      <c r="I194" s="5">
        <v>199.99</v>
      </c>
      <c r="J194" s="1" t="s">
        <v>57</v>
      </c>
      <c r="K194" s="1" t="s">
        <v>35</v>
      </c>
      <c r="L194" s="1" t="s">
        <v>36</v>
      </c>
      <c r="M194" s="4">
        <v>44544</v>
      </c>
      <c r="N194" s="19">
        <v>799.96</v>
      </c>
      <c r="O194" s="1">
        <f>MONTH(Table1[[#This Row],[Customer_Since]])</f>
        <v>12</v>
      </c>
      <c r="P194" s="1">
        <f>YEAR(Table1[[#This Row],[Customer_Since]])</f>
        <v>2021</v>
      </c>
      <c r="Q194" s="1"/>
      <c r="R194" s="1"/>
      <c r="S194" s="1"/>
      <c r="T194" s="1"/>
      <c r="U194" s="1"/>
      <c r="V194" s="1"/>
      <c r="W194" s="1"/>
      <c r="X194" s="1"/>
      <c r="Y194" s="1"/>
      <c r="Z194" s="1"/>
    </row>
    <row r="195" spans="1:26" ht="15" thickBot="1" x14ac:dyDescent="0.35">
      <c r="A195" s="18" t="s">
        <v>340</v>
      </c>
      <c r="B195" s="4">
        <v>45673</v>
      </c>
      <c r="C195" s="1" t="s">
        <v>211</v>
      </c>
      <c r="D195" s="1" t="s">
        <v>212</v>
      </c>
      <c r="E195" s="1" t="s">
        <v>105</v>
      </c>
      <c r="F195" s="1" t="s">
        <v>106</v>
      </c>
      <c r="G195" s="1" t="s">
        <v>46</v>
      </c>
      <c r="H195" s="5">
        <v>5</v>
      </c>
      <c r="I195" s="5">
        <v>299.99</v>
      </c>
      <c r="J195" s="1" t="s">
        <v>57</v>
      </c>
      <c r="K195" s="1" t="s">
        <v>21</v>
      </c>
      <c r="L195" s="1" t="s">
        <v>22</v>
      </c>
      <c r="M195" s="4">
        <v>44431</v>
      </c>
      <c r="N195" s="19">
        <v>1499.95</v>
      </c>
      <c r="O195" s="1">
        <f>MONTH(Table1[[#This Row],[Customer_Since]])</f>
        <v>8</v>
      </c>
      <c r="P195" s="1">
        <f>YEAR(Table1[[#This Row],[Customer_Since]])</f>
        <v>2021</v>
      </c>
      <c r="Q195" s="1"/>
      <c r="R195" s="1"/>
      <c r="S195" s="1"/>
      <c r="T195" s="1"/>
      <c r="U195" s="1"/>
      <c r="V195" s="1"/>
      <c r="W195" s="1"/>
      <c r="X195" s="1"/>
      <c r="Y195" s="1"/>
      <c r="Z195" s="1"/>
    </row>
    <row r="196" spans="1:26" ht="15" thickBot="1" x14ac:dyDescent="0.35">
      <c r="A196" s="18" t="s">
        <v>341</v>
      </c>
      <c r="B196" s="4">
        <v>45673</v>
      </c>
      <c r="C196" s="1" t="s">
        <v>59</v>
      </c>
      <c r="D196" s="1" t="s">
        <v>60</v>
      </c>
      <c r="E196" s="1" t="s">
        <v>44</v>
      </c>
      <c r="F196" s="1" t="s">
        <v>45</v>
      </c>
      <c r="G196" s="1" t="s">
        <v>46</v>
      </c>
      <c r="H196" s="5">
        <v>3</v>
      </c>
      <c r="I196" s="5">
        <v>149.99</v>
      </c>
      <c r="J196" s="1" t="s">
        <v>26</v>
      </c>
      <c r="K196" s="1" t="s">
        <v>63</v>
      </c>
      <c r="L196" s="1" t="s">
        <v>36</v>
      </c>
      <c r="M196" s="4">
        <v>44395</v>
      </c>
      <c r="N196" s="19">
        <v>449.97</v>
      </c>
      <c r="O196" s="1">
        <f>MONTH(Table1[[#This Row],[Customer_Since]])</f>
        <v>7</v>
      </c>
      <c r="P196" s="1">
        <f>YEAR(Table1[[#This Row],[Customer_Since]])</f>
        <v>2021</v>
      </c>
      <c r="Q196" s="1"/>
      <c r="R196" s="1"/>
      <c r="S196" s="1"/>
      <c r="T196" s="1"/>
      <c r="U196" s="1"/>
      <c r="V196" s="1"/>
      <c r="W196" s="1"/>
      <c r="X196" s="1"/>
      <c r="Y196" s="1"/>
      <c r="Z196" s="1"/>
    </row>
    <row r="197" spans="1:26" ht="15" thickBot="1" x14ac:dyDescent="0.35">
      <c r="A197" s="18" t="s">
        <v>342</v>
      </c>
      <c r="B197" s="4">
        <v>45676</v>
      </c>
      <c r="C197" s="1" t="s">
        <v>129</v>
      </c>
      <c r="D197" s="1" t="s">
        <v>130</v>
      </c>
      <c r="E197" s="1" t="s">
        <v>31</v>
      </c>
      <c r="F197" s="1" t="s">
        <v>32</v>
      </c>
      <c r="G197" s="1" t="s">
        <v>33</v>
      </c>
      <c r="H197" s="5">
        <v>5</v>
      </c>
      <c r="I197" s="5">
        <v>59.99</v>
      </c>
      <c r="J197" s="1" t="s">
        <v>57</v>
      </c>
      <c r="K197" s="1" t="s">
        <v>63</v>
      </c>
      <c r="L197" s="1" t="s">
        <v>22</v>
      </c>
      <c r="M197" s="4">
        <v>44642</v>
      </c>
      <c r="N197" s="19">
        <v>299.95</v>
      </c>
      <c r="O197" s="1">
        <f>MONTH(Table1[[#This Row],[Customer_Since]])</f>
        <v>3</v>
      </c>
      <c r="P197" s="1">
        <f>YEAR(Table1[[#This Row],[Customer_Since]])</f>
        <v>2022</v>
      </c>
      <c r="Q197" s="1"/>
      <c r="R197" s="1"/>
      <c r="S197" s="1"/>
      <c r="T197" s="1"/>
      <c r="U197" s="1"/>
      <c r="V197" s="1"/>
      <c r="W197" s="1"/>
      <c r="X197" s="1"/>
      <c r="Y197" s="1"/>
      <c r="Z197" s="1"/>
    </row>
    <row r="198" spans="1:26" ht="15" thickBot="1" x14ac:dyDescent="0.35">
      <c r="A198" s="18" t="s">
        <v>343</v>
      </c>
      <c r="B198" s="4">
        <v>45682</v>
      </c>
      <c r="C198" s="1" t="s">
        <v>68</v>
      </c>
      <c r="D198" s="1" t="s">
        <v>69</v>
      </c>
      <c r="E198" s="1" t="s">
        <v>31</v>
      </c>
      <c r="F198" s="1" t="s">
        <v>32</v>
      </c>
      <c r="G198" s="1" t="s">
        <v>33</v>
      </c>
      <c r="H198" s="5">
        <v>4</v>
      </c>
      <c r="I198" s="5">
        <v>59.99</v>
      </c>
      <c r="J198" s="1" t="s">
        <v>57</v>
      </c>
      <c r="K198" s="1" t="s">
        <v>63</v>
      </c>
      <c r="L198" s="1" t="s">
        <v>36</v>
      </c>
      <c r="M198" s="4">
        <v>44564</v>
      </c>
      <c r="N198" s="19">
        <v>239.96</v>
      </c>
      <c r="O198" s="1">
        <f>MONTH(Table1[[#This Row],[Customer_Since]])</f>
        <v>1</v>
      </c>
      <c r="P198" s="1">
        <f>YEAR(Table1[[#This Row],[Customer_Since]])</f>
        <v>2022</v>
      </c>
      <c r="Q198" s="1"/>
      <c r="R198" s="1"/>
      <c r="S198" s="1"/>
      <c r="T198" s="1"/>
      <c r="U198" s="1"/>
      <c r="V198" s="1"/>
      <c r="W198" s="1"/>
      <c r="X198" s="1"/>
      <c r="Y198" s="1"/>
      <c r="Z198" s="1"/>
    </row>
    <row r="199" spans="1:26" ht="15" thickBot="1" x14ac:dyDescent="0.35">
      <c r="A199" s="18" t="s">
        <v>344</v>
      </c>
      <c r="B199" s="4">
        <v>45683</v>
      </c>
      <c r="C199" s="1" t="s">
        <v>48</v>
      </c>
      <c r="D199" s="1" t="s">
        <v>49</v>
      </c>
      <c r="E199" s="1" t="s">
        <v>17</v>
      </c>
      <c r="F199" s="1" t="s">
        <v>18</v>
      </c>
      <c r="G199" s="1" t="s">
        <v>19</v>
      </c>
      <c r="H199" s="5">
        <v>4</v>
      </c>
      <c r="I199" s="5">
        <v>249.99</v>
      </c>
      <c r="J199" s="1" t="s">
        <v>57</v>
      </c>
      <c r="K199" s="1" t="s">
        <v>21</v>
      </c>
      <c r="L199" s="1" t="s">
        <v>27</v>
      </c>
      <c r="M199" s="4">
        <v>45217</v>
      </c>
      <c r="N199" s="19">
        <v>999.96</v>
      </c>
      <c r="O199" s="1">
        <f>MONTH(Table1[[#This Row],[Customer_Since]])</f>
        <v>10</v>
      </c>
      <c r="P199" s="1">
        <f>YEAR(Table1[[#This Row],[Customer_Since]])</f>
        <v>2023</v>
      </c>
      <c r="Q199" s="1"/>
      <c r="R199" s="1"/>
      <c r="S199" s="1"/>
      <c r="T199" s="1"/>
      <c r="U199" s="1"/>
      <c r="V199" s="1"/>
      <c r="W199" s="1"/>
      <c r="X199" s="1"/>
      <c r="Y199" s="1"/>
      <c r="Z199" s="1"/>
    </row>
    <row r="200" spans="1:26" ht="15" thickBot="1" x14ac:dyDescent="0.35">
      <c r="A200" s="18" t="s">
        <v>345</v>
      </c>
      <c r="B200" s="4">
        <v>45686</v>
      </c>
      <c r="C200" s="1" t="s">
        <v>252</v>
      </c>
      <c r="D200" s="1" t="s">
        <v>253</v>
      </c>
      <c r="E200" s="1" t="s">
        <v>61</v>
      </c>
      <c r="F200" s="1" t="s">
        <v>62</v>
      </c>
      <c r="G200" s="1" t="s">
        <v>19</v>
      </c>
      <c r="H200" s="5">
        <v>4</v>
      </c>
      <c r="I200" s="5">
        <v>899.99</v>
      </c>
      <c r="J200" s="1" t="s">
        <v>34</v>
      </c>
      <c r="K200" s="1" t="s">
        <v>21</v>
      </c>
      <c r="L200" s="1" t="s">
        <v>22</v>
      </c>
      <c r="M200" s="4">
        <v>44734</v>
      </c>
      <c r="N200" s="19">
        <v>3599.96</v>
      </c>
      <c r="O200" s="1">
        <f>MONTH(Table1[[#This Row],[Customer_Since]])</f>
        <v>6</v>
      </c>
      <c r="P200" s="1">
        <f>YEAR(Table1[[#This Row],[Customer_Since]])</f>
        <v>2022</v>
      </c>
      <c r="Q200" s="1"/>
      <c r="R200" s="1"/>
      <c r="S200" s="1"/>
      <c r="T200" s="1"/>
      <c r="U200" s="1"/>
      <c r="V200" s="1"/>
      <c r="W200" s="1"/>
      <c r="X200" s="1"/>
      <c r="Y200" s="1"/>
      <c r="Z200" s="1"/>
    </row>
    <row r="201" spans="1:26" ht="15" thickBot="1" x14ac:dyDescent="0.35">
      <c r="A201" s="18" t="s">
        <v>346</v>
      </c>
      <c r="B201" s="4">
        <v>45686</v>
      </c>
      <c r="C201" s="1" t="s">
        <v>86</v>
      </c>
      <c r="D201" s="1" t="s">
        <v>87</v>
      </c>
      <c r="E201" s="1" t="s">
        <v>105</v>
      </c>
      <c r="F201" s="1" t="s">
        <v>106</v>
      </c>
      <c r="G201" s="1" t="s">
        <v>46</v>
      </c>
      <c r="H201" s="5">
        <v>3</v>
      </c>
      <c r="I201" s="5">
        <v>299.99</v>
      </c>
      <c r="J201" s="1" t="s">
        <v>57</v>
      </c>
      <c r="K201" s="1" t="s">
        <v>50</v>
      </c>
      <c r="L201" s="1" t="s">
        <v>36</v>
      </c>
      <c r="M201" s="4">
        <v>44952</v>
      </c>
      <c r="N201" s="19">
        <v>899.97</v>
      </c>
      <c r="O201" s="1">
        <f>MONTH(Table1[[#This Row],[Customer_Since]])</f>
        <v>1</v>
      </c>
      <c r="P201" s="1">
        <f>YEAR(Table1[[#This Row],[Customer_Since]])</f>
        <v>2023</v>
      </c>
      <c r="Q201" s="1"/>
      <c r="R201" s="1"/>
      <c r="S201" s="1"/>
      <c r="T201" s="1"/>
      <c r="U201" s="1"/>
      <c r="V201" s="1"/>
      <c r="W201" s="1"/>
      <c r="X201" s="1"/>
      <c r="Y201" s="1"/>
      <c r="Z201" s="1"/>
    </row>
    <row r="202" spans="1:26" ht="15" thickBot="1" x14ac:dyDescent="0.35">
      <c r="A202" s="18" t="s">
        <v>347</v>
      </c>
      <c r="B202" s="4">
        <v>45686</v>
      </c>
      <c r="C202" s="1" t="s">
        <v>293</v>
      </c>
      <c r="D202" s="1" t="s">
        <v>294</v>
      </c>
      <c r="E202" s="1" t="s">
        <v>80</v>
      </c>
      <c r="F202" s="1" t="s">
        <v>81</v>
      </c>
      <c r="G202" s="1" t="s">
        <v>19</v>
      </c>
      <c r="H202" s="5">
        <v>2</v>
      </c>
      <c r="I202" s="5">
        <v>699.99</v>
      </c>
      <c r="J202" s="1" t="s">
        <v>57</v>
      </c>
      <c r="K202" s="1" t="s">
        <v>21</v>
      </c>
      <c r="L202" s="1" t="s">
        <v>27</v>
      </c>
      <c r="M202" s="4">
        <v>44681</v>
      </c>
      <c r="N202" s="19">
        <v>1399.98</v>
      </c>
      <c r="O202" s="1">
        <f>MONTH(Table1[[#This Row],[Customer_Since]])</f>
        <v>4</v>
      </c>
      <c r="P202" s="1">
        <f>YEAR(Table1[[#This Row],[Customer_Since]])</f>
        <v>2022</v>
      </c>
      <c r="Q202" s="1"/>
      <c r="R202" s="1"/>
      <c r="S202" s="1"/>
      <c r="T202" s="1"/>
      <c r="U202" s="1"/>
      <c r="V202" s="1"/>
      <c r="W202" s="1"/>
      <c r="X202" s="1"/>
      <c r="Y202" s="1"/>
      <c r="Z202" s="1"/>
    </row>
    <row r="203" spans="1:26" ht="15" thickBot="1" x14ac:dyDescent="0.35">
      <c r="A203" s="18" t="s">
        <v>348</v>
      </c>
      <c r="B203" s="4">
        <v>45688</v>
      </c>
      <c r="C203" s="1" t="s">
        <v>65</v>
      </c>
      <c r="D203" s="1" t="s">
        <v>66</v>
      </c>
      <c r="E203" s="1" t="s">
        <v>80</v>
      </c>
      <c r="F203" s="1" t="s">
        <v>81</v>
      </c>
      <c r="G203" s="1" t="s">
        <v>19</v>
      </c>
      <c r="H203" s="5">
        <v>4</v>
      </c>
      <c r="I203" s="5">
        <v>699.99</v>
      </c>
      <c r="J203" s="1" t="s">
        <v>57</v>
      </c>
      <c r="K203" s="1" t="s">
        <v>50</v>
      </c>
      <c r="L203" s="1" t="s">
        <v>27</v>
      </c>
      <c r="M203" s="4">
        <v>44692</v>
      </c>
      <c r="N203" s="19">
        <v>2799.96</v>
      </c>
      <c r="O203" s="1">
        <f>MONTH(Table1[[#This Row],[Customer_Since]])</f>
        <v>5</v>
      </c>
      <c r="P203" s="1">
        <f>YEAR(Table1[[#This Row],[Customer_Since]])</f>
        <v>2022</v>
      </c>
      <c r="Q203" s="1"/>
      <c r="R203" s="1"/>
      <c r="S203" s="1"/>
      <c r="T203" s="1"/>
      <c r="U203" s="1"/>
      <c r="V203" s="1"/>
      <c r="W203" s="1"/>
      <c r="X203" s="1"/>
      <c r="Y203" s="1"/>
      <c r="Z203" s="1"/>
    </row>
    <row r="204" spans="1:26" ht="15" thickBot="1" x14ac:dyDescent="0.35">
      <c r="A204" s="18" t="s">
        <v>349</v>
      </c>
      <c r="B204" s="4">
        <v>45688</v>
      </c>
      <c r="C204" s="1" t="s">
        <v>123</v>
      </c>
      <c r="D204" s="1" t="s">
        <v>124</v>
      </c>
      <c r="E204" s="1" t="s">
        <v>117</v>
      </c>
      <c r="F204" s="1" t="s">
        <v>118</v>
      </c>
      <c r="G204" s="1" t="s">
        <v>19</v>
      </c>
      <c r="H204" s="5">
        <v>2</v>
      </c>
      <c r="I204" s="5">
        <v>89.99</v>
      </c>
      <c r="J204" s="1" t="s">
        <v>57</v>
      </c>
      <c r="K204" s="1" t="s">
        <v>35</v>
      </c>
      <c r="L204" s="1" t="s">
        <v>22</v>
      </c>
      <c r="M204" s="4">
        <v>44777</v>
      </c>
      <c r="N204" s="19">
        <v>179.98</v>
      </c>
      <c r="O204" s="1">
        <f>MONTH(Table1[[#This Row],[Customer_Since]])</f>
        <v>8</v>
      </c>
      <c r="P204" s="1">
        <f>YEAR(Table1[[#This Row],[Customer_Since]])</f>
        <v>2022</v>
      </c>
      <c r="Q204" s="1"/>
      <c r="R204" s="1"/>
      <c r="S204" s="1"/>
      <c r="T204" s="1"/>
      <c r="U204" s="1"/>
      <c r="V204" s="1"/>
      <c r="W204" s="1"/>
      <c r="X204" s="1"/>
      <c r="Y204" s="1"/>
      <c r="Z204" s="1"/>
    </row>
    <row r="205" spans="1:26" ht="15" thickBot="1" x14ac:dyDescent="0.35">
      <c r="A205" s="18" t="s">
        <v>350</v>
      </c>
      <c r="B205" s="4">
        <v>45688</v>
      </c>
      <c r="C205" s="1" t="s">
        <v>42</v>
      </c>
      <c r="D205" s="1" t="s">
        <v>43</v>
      </c>
      <c r="E205" s="1" t="s">
        <v>117</v>
      </c>
      <c r="F205" s="1" t="s">
        <v>118</v>
      </c>
      <c r="G205" s="1" t="s">
        <v>19</v>
      </c>
      <c r="H205" s="5">
        <v>3</v>
      </c>
      <c r="I205" s="5">
        <v>89.99</v>
      </c>
      <c r="J205" s="1" t="s">
        <v>57</v>
      </c>
      <c r="K205" s="1" t="s">
        <v>35</v>
      </c>
      <c r="L205" s="1" t="s">
        <v>27</v>
      </c>
      <c r="M205" s="4">
        <v>45307</v>
      </c>
      <c r="N205" s="19">
        <v>269.97000000000003</v>
      </c>
      <c r="O205" s="1">
        <f>MONTH(Table1[[#This Row],[Customer_Since]])</f>
        <v>1</v>
      </c>
      <c r="P205" s="1">
        <f>YEAR(Table1[[#This Row],[Customer_Since]])</f>
        <v>2024</v>
      </c>
      <c r="Q205" s="1"/>
      <c r="R205" s="1"/>
      <c r="S205" s="1"/>
      <c r="T205" s="1"/>
      <c r="U205" s="1"/>
      <c r="V205" s="1"/>
      <c r="W205" s="1"/>
      <c r="X205" s="1"/>
      <c r="Y205" s="1"/>
      <c r="Z205" s="1"/>
    </row>
    <row r="206" spans="1:26" ht="15" thickBot="1" x14ac:dyDescent="0.35">
      <c r="A206" s="18" t="s">
        <v>351</v>
      </c>
      <c r="B206" s="4">
        <v>45692</v>
      </c>
      <c r="C206" s="1" t="s">
        <v>325</v>
      </c>
      <c r="D206" s="1" t="s">
        <v>326</v>
      </c>
      <c r="E206" s="1" t="s">
        <v>31</v>
      </c>
      <c r="F206" s="1" t="s">
        <v>32</v>
      </c>
      <c r="G206" s="1" t="s">
        <v>33</v>
      </c>
      <c r="H206" s="5">
        <v>1</v>
      </c>
      <c r="I206" s="5">
        <v>59.99</v>
      </c>
      <c r="J206" s="1" t="s">
        <v>57</v>
      </c>
      <c r="K206" s="1" t="s">
        <v>21</v>
      </c>
      <c r="L206" s="1" t="s">
        <v>36</v>
      </c>
      <c r="M206" s="4">
        <v>45045</v>
      </c>
      <c r="N206" s="19">
        <v>59.99</v>
      </c>
      <c r="O206" s="1">
        <f>MONTH(Table1[[#This Row],[Customer_Since]])</f>
        <v>4</v>
      </c>
      <c r="P206" s="1">
        <f>YEAR(Table1[[#This Row],[Customer_Since]])</f>
        <v>2023</v>
      </c>
      <c r="Q206" s="1"/>
      <c r="R206" s="1"/>
      <c r="S206" s="1"/>
      <c r="T206" s="1"/>
      <c r="U206" s="1"/>
      <c r="V206" s="1"/>
      <c r="W206" s="1"/>
      <c r="X206" s="1"/>
      <c r="Y206" s="1"/>
      <c r="Z206" s="1"/>
    </row>
    <row r="207" spans="1:26" ht="15" thickBot="1" x14ac:dyDescent="0.35">
      <c r="A207" s="18" t="s">
        <v>352</v>
      </c>
      <c r="B207" s="4">
        <v>45695</v>
      </c>
      <c r="C207" s="1" t="s">
        <v>246</v>
      </c>
      <c r="D207" s="1" t="s">
        <v>247</v>
      </c>
      <c r="E207" s="1" t="s">
        <v>44</v>
      </c>
      <c r="F207" s="1" t="s">
        <v>45</v>
      </c>
      <c r="G207" s="1" t="s">
        <v>46</v>
      </c>
      <c r="H207" s="5">
        <v>3</v>
      </c>
      <c r="I207" s="5">
        <v>149.99</v>
      </c>
      <c r="J207" s="1" t="s">
        <v>57</v>
      </c>
      <c r="K207" s="1" t="s">
        <v>40</v>
      </c>
      <c r="L207" s="1" t="s">
        <v>27</v>
      </c>
      <c r="M207" s="4">
        <v>44564</v>
      </c>
      <c r="N207" s="19">
        <v>449.97</v>
      </c>
      <c r="O207" s="1">
        <f>MONTH(Table1[[#This Row],[Customer_Since]])</f>
        <v>1</v>
      </c>
      <c r="P207" s="1">
        <f>YEAR(Table1[[#This Row],[Customer_Since]])</f>
        <v>2022</v>
      </c>
      <c r="Q207" s="1"/>
      <c r="R207" s="1"/>
      <c r="S207" s="1"/>
      <c r="T207" s="1"/>
      <c r="U207" s="1"/>
      <c r="V207" s="1"/>
      <c r="W207" s="1"/>
      <c r="X207" s="1"/>
      <c r="Y207" s="1"/>
      <c r="Z207" s="1"/>
    </row>
    <row r="208" spans="1:26" ht="15" thickBot="1" x14ac:dyDescent="0.35">
      <c r="A208" s="18" t="s">
        <v>353</v>
      </c>
      <c r="B208" s="4">
        <v>45695</v>
      </c>
      <c r="C208" s="1" t="s">
        <v>93</v>
      </c>
      <c r="D208" s="1" t="s">
        <v>94</v>
      </c>
      <c r="E208" s="1" t="s">
        <v>105</v>
      </c>
      <c r="F208" s="1" t="s">
        <v>106</v>
      </c>
      <c r="G208" s="1" t="s">
        <v>46</v>
      </c>
      <c r="H208" s="5">
        <v>5</v>
      </c>
      <c r="I208" s="5">
        <v>299.99</v>
      </c>
      <c r="J208" s="1" t="s">
        <v>26</v>
      </c>
      <c r="K208" s="1" t="s">
        <v>35</v>
      </c>
      <c r="L208" s="1" t="s">
        <v>22</v>
      </c>
      <c r="M208" s="4">
        <v>44959</v>
      </c>
      <c r="N208" s="19">
        <v>1499.95</v>
      </c>
      <c r="O208" s="1">
        <f>MONTH(Table1[[#This Row],[Customer_Since]])</f>
        <v>2</v>
      </c>
      <c r="P208" s="1">
        <f>YEAR(Table1[[#This Row],[Customer_Since]])</f>
        <v>2023</v>
      </c>
      <c r="Q208" s="1"/>
      <c r="R208" s="1"/>
      <c r="S208" s="1"/>
      <c r="T208" s="1"/>
      <c r="U208" s="1"/>
      <c r="V208" s="1"/>
      <c r="W208" s="1"/>
      <c r="X208" s="1"/>
      <c r="Y208" s="1"/>
      <c r="Z208" s="1"/>
    </row>
    <row r="209" spans="1:26" ht="15" thickBot="1" x14ac:dyDescent="0.35">
      <c r="A209" s="18" t="s">
        <v>354</v>
      </c>
      <c r="B209" s="4">
        <v>45696</v>
      </c>
      <c r="C209" s="1" t="s">
        <v>150</v>
      </c>
      <c r="D209" s="1" t="s">
        <v>151</v>
      </c>
      <c r="E209" s="1" t="s">
        <v>31</v>
      </c>
      <c r="F209" s="1" t="s">
        <v>32</v>
      </c>
      <c r="G209" s="1" t="s">
        <v>33</v>
      </c>
      <c r="H209" s="5">
        <v>5</v>
      </c>
      <c r="I209" s="5">
        <v>59.99</v>
      </c>
      <c r="J209" s="1" t="s">
        <v>57</v>
      </c>
      <c r="K209" s="1" t="s">
        <v>21</v>
      </c>
      <c r="L209" s="1" t="s">
        <v>36</v>
      </c>
      <c r="M209" s="4">
        <v>45177</v>
      </c>
      <c r="N209" s="19">
        <v>299.95</v>
      </c>
      <c r="O209" s="1">
        <f>MONTH(Table1[[#This Row],[Customer_Since]])</f>
        <v>9</v>
      </c>
      <c r="P209" s="1">
        <f>YEAR(Table1[[#This Row],[Customer_Since]])</f>
        <v>2023</v>
      </c>
      <c r="Q209" s="1"/>
      <c r="R209" s="1"/>
      <c r="S209" s="1"/>
      <c r="T209" s="1"/>
      <c r="U209" s="1"/>
      <c r="V209" s="1"/>
      <c r="W209" s="1"/>
      <c r="X209" s="1"/>
      <c r="Y209" s="1"/>
      <c r="Z209" s="1"/>
    </row>
    <row r="210" spans="1:26" ht="15" thickBot="1" x14ac:dyDescent="0.35">
      <c r="A210" s="18" t="s">
        <v>355</v>
      </c>
      <c r="B210" s="4">
        <v>45701</v>
      </c>
      <c r="C210" s="1" t="s">
        <v>108</v>
      </c>
      <c r="D210" s="1" t="s">
        <v>109</v>
      </c>
      <c r="E210" s="1" t="s">
        <v>114</v>
      </c>
      <c r="F210" s="1" t="s">
        <v>115</v>
      </c>
      <c r="G210" s="1" t="s">
        <v>33</v>
      </c>
      <c r="H210" s="5">
        <v>3</v>
      </c>
      <c r="I210" s="5">
        <v>79.989999999999995</v>
      </c>
      <c r="J210" s="1" t="s">
        <v>20</v>
      </c>
      <c r="K210" s="1" t="s">
        <v>63</v>
      </c>
      <c r="L210" s="1" t="s">
        <v>27</v>
      </c>
      <c r="M210" s="4">
        <v>44436</v>
      </c>
      <c r="N210" s="19">
        <v>239.97</v>
      </c>
      <c r="O210" s="1">
        <f>MONTH(Table1[[#This Row],[Customer_Since]])</f>
        <v>8</v>
      </c>
      <c r="P210" s="1">
        <f>YEAR(Table1[[#This Row],[Customer_Since]])</f>
        <v>2021</v>
      </c>
      <c r="Q210" s="1"/>
      <c r="R210" s="1"/>
      <c r="S210" s="1"/>
      <c r="T210" s="1"/>
      <c r="U210" s="1"/>
      <c r="V210" s="1"/>
      <c r="W210" s="1"/>
      <c r="X210" s="1"/>
      <c r="Y210" s="1"/>
      <c r="Z210" s="1"/>
    </row>
    <row r="211" spans="1:26" ht="15" thickBot="1" x14ac:dyDescent="0.35">
      <c r="A211" s="18" t="s">
        <v>356</v>
      </c>
      <c r="B211" s="4">
        <v>45704</v>
      </c>
      <c r="C211" s="1" t="s">
        <v>29</v>
      </c>
      <c r="D211" s="1" t="s">
        <v>30</v>
      </c>
      <c r="E211" s="1" t="s">
        <v>126</v>
      </c>
      <c r="F211" s="1" t="s">
        <v>127</v>
      </c>
      <c r="G211" s="1" t="s">
        <v>46</v>
      </c>
      <c r="H211" s="5">
        <v>3</v>
      </c>
      <c r="I211" s="5">
        <v>199.99</v>
      </c>
      <c r="J211" s="1" t="s">
        <v>20</v>
      </c>
      <c r="K211" s="1" t="s">
        <v>21</v>
      </c>
      <c r="L211" s="1" t="s">
        <v>22</v>
      </c>
      <c r="M211" s="4">
        <v>44735</v>
      </c>
      <c r="N211" s="19">
        <v>599.97</v>
      </c>
      <c r="O211" s="1">
        <f>MONTH(Table1[[#This Row],[Customer_Since]])</f>
        <v>6</v>
      </c>
      <c r="P211" s="1">
        <f>YEAR(Table1[[#This Row],[Customer_Since]])</f>
        <v>2022</v>
      </c>
      <c r="Q211" s="1"/>
      <c r="R211" s="1"/>
      <c r="S211" s="1"/>
      <c r="T211" s="1"/>
      <c r="U211" s="1"/>
      <c r="V211" s="1"/>
      <c r="W211" s="1"/>
      <c r="X211" s="1"/>
      <c r="Y211" s="1"/>
      <c r="Z211" s="1"/>
    </row>
    <row r="212" spans="1:26" ht="15" thickBot="1" x14ac:dyDescent="0.35">
      <c r="A212" s="18" t="s">
        <v>357</v>
      </c>
      <c r="B212" s="4">
        <v>45704</v>
      </c>
      <c r="C212" s="1" t="s">
        <v>15</v>
      </c>
      <c r="D212" s="1" t="s">
        <v>16</v>
      </c>
      <c r="E212" s="1" t="s">
        <v>117</v>
      </c>
      <c r="F212" s="1" t="s">
        <v>118</v>
      </c>
      <c r="G212" s="1" t="s">
        <v>19</v>
      </c>
      <c r="H212" s="5">
        <v>2</v>
      </c>
      <c r="I212" s="5">
        <v>89.99</v>
      </c>
      <c r="J212" s="1" t="s">
        <v>34</v>
      </c>
      <c r="K212" s="1" t="s">
        <v>21</v>
      </c>
      <c r="L212" s="1" t="s">
        <v>22</v>
      </c>
      <c r="M212" s="4">
        <v>45257</v>
      </c>
      <c r="N212" s="19">
        <v>179.98</v>
      </c>
      <c r="O212" s="1">
        <f>MONTH(Table1[[#This Row],[Customer_Since]])</f>
        <v>11</v>
      </c>
      <c r="P212" s="1">
        <f>YEAR(Table1[[#This Row],[Customer_Since]])</f>
        <v>2023</v>
      </c>
      <c r="Q212" s="1"/>
      <c r="R212" s="1"/>
      <c r="S212" s="1"/>
      <c r="T212" s="1"/>
      <c r="U212" s="1"/>
      <c r="V212" s="1"/>
      <c r="W212" s="1"/>
      <c r="X212" s="1"/>
      <c r="Y212" s="1"/>
      <c r="Z212" s="1"/>
    </row>
    <row r="213" spans="1:26" ht="15" thickBot="1" x14ac:dyDescent="0.35">
      <c r="A213" s="18" t="s">
        <v>358</v>
      </c>
      <c r="B213" s="4">
        <v>45705</v>
      </c>
      <c r="C213" s="1" t="s">
        <v>259</v>
      </c>
      <c r="D213" s="1" t="s">
        <v>260</v>
      </c>
      <c r="E213" s="1" t="s">
        <v>44</v>
      </c>
      <c r="F213" s="1" t="s">
        <v>45</v>
      </c>
      <c r="G213" s="1" t="s">
        <v>46</v>
      </c>
      <c r="H213" s="5">
        <v>2</v>
      </c>
      <c r="I213" s="5">
        <v>149.99</v>
      </c>
      <c r="J213" s="1" t="s">
        <v>20</v>
      </c>
      <c r="K213" s="1" t="s">
        <v>35</v>
      </c>
      <c r="L213" s="1" t="s">
        <v>27</v>
      </c>
      <c r="M213" s="4">
        <v>44728</v>
      </c>
      <c r="N213" s="19">
        <v>299.98</v>
      </c>
      <c r="O213" s="1">
        <f>MONTH(Table1[[#This Row],[Customer_Since]])</f>
        <v>6</v>
      </c>
      <c r="P213" s="1">
        <f>YEAR(Table1[[#This Row],[Customer_Since]])</f>
        <v>2022</v>
      </c>
      <c r="Q213" s="1"/>
      <c r="R213" s="1"/>
      <c r="S213" s="1"/>
      <c r="T213" s="1"/>
      <c r="U213" s="1"/>
      <c r="V213" s="1"/>
      <c r="W213" s="1"/>
      <c r="X213" s="1"/>
      <c r="Y213" s="1"/>
      <c r="Z213" s="1"/>
    </row>
    <row r="214" spans="1:26" ht="15" thickBot="1" x14ac:dyDescent="0.35">
      <c r="A214" s="18" t="s">
        <v>359</v>
      </c>
      <c r="B214" s="4">
        <v>45707</v>
      </c>
      <c r="C214" s="1" t="s">
        <v>123</v>
      </c>
      <c r="D214" s="1" t="s">
        <v>124</v>
      </c>
      <c r="E214" s="1" t="s">
        <v>80</v>
      </c>
      <c r="F214" s="1" t="s">
        <v>81</v>
      </c>
      <c r="G214" s="1" t="s">
        <v>19</v>
      </c>
      <c r="H214" s="5">
        <v>5</v>
      </c>
      <c r="I214" s="5">
        <v>699.99</v>
      </c>
      <c r="J214" s="1" t="s">
        <v>34</v>
      </c>
      <c r="K214" s="1" t="s">
        <v>35</v>
      </c>
      <c r="L214" s="1" t="s">
        <v>27</v>
      </c>
      <c r="M214" s="4">
        <v>45352</v>
      </c>
      <c r="N214" s="19">
        <v>3499.95</v>
      </c>
      <c r="O214" s="1">
        <f>MONTH(Table1[[#This Row],[Customer_Since]])</f>
        <v>3</v>
      </c>
      <c r="P214" s="1">
        <f>YEAR(Table1[[#This Row],[Customer_Since]])</f>
        <v>2024</v>
      </c>
      <c r="Q214" s="1"/>
      <c r="R214" s="1"/>
      <c r="S214" s="1"/>
      <c r="T214" s="1"/>
      <c r="U214" s="1"/>
      <c r="V214" s="1"/>
      <c r="W214" s="1"/>
      <c r="X214" s="1"/>
      <c r="Y214" s="1"/>
      <c r="Z214" s="1"/>
    </row>
    <row r="215" spans="1:26" ht="15" thickBot="1" x14ac:dyDescent="0.35">
      <c r="A215" s="18" t="s">
        <v>360</v>
      </c>
      <c r="B215" s="4">
        <v>45707</v>
      </c>
      <c r="C215" s="1" t="s">
        <v>42</v>
      </c>
      <c r="D215" s="1" t="s">
        <v>43</v>
      </c>
      <c r="E215" s="1" t="s">
        <v>44</v>
      </c>
      <c r="F215" s="1" t="s">
        <v>45</v>
      </c>
      <c r="G215" s="1" t="s">
        <v>46</v>
      </c>
      <c r="H215" s="5">
        <v>3</v>
      </c>
      <c r="I215" s="5">
        <v>149.99</v>
      </c>
      <c r="J215" s="1" t="s">
        <v>34</v>
      </c>
      <c r="K215" s="1" t="s">
        <v>21</v>
      </c>
      <c r="L215" s="1" t="s">
        <v>36</v>
      </c>
      <c r="M215" s="4">
        <v>44633</v>
      </c>
      <c r="N215" s="19">
        <v>449.97</v>
      </c>
      <c r="O215" s="1">
        <f>MONTH(Table1[[#This Row],[Customer_Since]])</f>
        <v>3</v>
      </c>
      <c r="P215" s="1">
        <f>YEAR(Table1[[#This Row],[Customer_Since]])</f>
        <v>2022</v>
      </c>
      <c r="Q215" s="1"/>
      <c r="R215" s="1"/>
      <c r="S215" s="1"/>
      <c r="T215" s="1"/>
      <c r="U215" s="1"/>
      <c r="V215" s="1"/>
      <c r="W215" s="1"/>
      <c r="X215" s="1"/>
      <c r="Y215" s="1"/>
      <c r="Z215" s="1"/>
    </row>
    <row r="216" spans="1:26" ht="15" thickBot="1" x14ac:dyDescent="0.35">
      <c r="A216" s="18" t="s">
        <v>361</v>
      </c>
      <c r="B216" s="4">
        <v>45708</v>
      </c>
      <c r="C216" s="1" t="s">
        <v>96</v>
      </c>
      <c r="D216" s="1" t="s">
        <v>97</v>
      </c>
      <c r="E216" s="1" t="s">
        <v>61</v>
      </c>
      <c r="F216" s="1" t="s">
        <v>62</v>
      </c>
      <c r="G216" s="1" t="s">
        <v>19</v>
      </c>
      <c r="H216" s="5">
        <v>3</v>
      </c>
      <c r="I216" s="5">
        <v>899.99</v>
      </c>
      <c r="J216" s="1" t="s">
        <v>20</v>
      </c>
      <c r="K216" s="1" t="s">
        <v>63</v>
      </c>
      <c r="L216" s="1" t="s">
        <v>36</v>
      </c>
      <c r="M216" s="4">
        <v>44613</v>
      </c>
      <c r="N216" s="19">
        <v>2699.97</v>
      </c>
      <c r="O216" s="1">
        <f>MONTH(Table1[[#This Row],[Customer_Since]])</f>
        <v>2</v>
      </c>
      <c r="P216" s="1">
        <f>YEAR(Table1[[#This Row],[Customer_Since]])</f>
        <v>2022</v>
      </c>
      <c r="Q216" s="1"/>
      <c r="R216" s="1"/>
      <c r="S216" s="1"/>
      <c r="T216" s="1"/>
      <c r="U216" s="1"/>
      <c r="V216" s="1"/>
      <c r="W216" s="1"/>
      <c r="X216" s="1"/>
      <c r="Y216" s="1"/>
      <c r="Z216" s="1"/>
    </row>
    <row r="217" spans="1:26" ht="15" thickBot="1" x14ac:dyDescent="0.35">
      <c r="A217" s="18" t="s">
        <v>362</v>
      </c>
      <c r="B217" s="4">
        <v>45708</v>
      </c>
      <c r="C217" s="1" t="s">
        <v>192</v>
      </c>
      <c r="D217" s="1" t="s">
        <v>193</v>
      </c>
      <c r="E217" s="1" t="s">
        <v>126</v>
      </c>
      <c r="F217" s="1" t="s">
        <v>127</v>
      </c>
      <c r="G217" s="1" t="s">
        <v>46</v>
      </c>
      <c r="H217" s="5">
        <v>3</v>
      </c>
      <c r="I217" s="5">
        <v>199.99</v>
      </c>
      <c r="J217" s="1" t="s">
        <v>20</v>
      </c>
      <c r="K217" s="1" t="s">
        <v>50</v>
      </c>
      <c r="L217" s="1" t="s">
        <v>27</v>
      </c>
      <c r="M217" s="4">
        <v>44823</v>
      </c>
      <c r="N217" s="19">
        <v>599.97</v>
      </c>
      <c r="O217" s="1">
        <f>MONTH(Table1[[#This Row],[Customer_Since]])</f>
        <v>9</v>
      </c>
      <c r="P217" s="1">
        <f>YEAR(Table1[[#This Row],[Customer_Since]])</f>
        <v>2022</v>
      </c>
      <c r="Q217" s="1"/>
      <c r="R217" s="1"/>
      <c r="S217" s="1"/>
      <c r="T217" s="1"/>
      <c r="U217" s="1"/>
      <c r="V217" s="1"/>
      <c r="W217" s="1"/>
      <c r="X217" s="1"/>
      <c r="Y217" s="1"/>
      <c r="Z217" s="1"/>
    </row>
    <row r="218" spans="1:26" ht="15" thickBot="1" x14ac:dyDescent="0.35">
      <c r="A218" s="18" t="s">
        <v>363</v>
      </c>
      <c r="B218" s="4">
        <v>45710</v>
      </c>
      <c r="C218" s="1" t="s">
        <v>55</v>
      </c>
      <c r="D218" s="1" t="s">
        <v>56</v>
      </c>
      <c r="E218" s="1" t="s">
        <v>105</v>
      </c>
      <c r="F218" s="1" t="s">
        <v>106</v>
      </c>
      <c r="G218" s="1" t="s">
        <v>46</v>
      </c>
      <c r="H218" s="5">
        <v>5</v>
      </c>
      <c r="I218" s="5">
        <v>299.99</v>
      </c>
      <c r="J218" s="1" t="s">
        <v>20</v>
      </c>
      <c r="K218" s="1" t="s">
        <v>50</v>
      </c>
      <c r="L218" s="1" t="s">
        <v>36</v>
      </c>
      <c r="M218" s="4">
        <v>45142</v>
      </c>
      <c r="N218" s="19">
        <v>1499.95</v>
      </c>
      <c r="O218" s="1">
        <f>MONTH(Table1[[#This Row],[Customer_Since]])</f>
        <v>8</v>
      </c>
      <c r="P218" s="1">
        <f>YEAR(Table1[[#This Row],[Customer_Since]])</f>
        <v>2023</v>
      </c>
      <c r="Q218" s="1"/>
      <c r="R218" s="1"/>
      <c r="S218" s="1"/>
      <c r="T218" s="1"/>
      <c r="U218" s="1"/>
      <c r="V218" s="1"/>
      <c r="W218" s="1"/>
      <c r="X218" s="1"/>
      <c r="Y218" s="1"/>
      <c r="Z218" s="1"/>
    </row>
    <row r="219" spans="1:26" ht="15" thickBot="1" x14ac:dyDescent="0.35">
      <c r="A219" s="18" t="s">
        <v>364</v>
      </c>
      <c r="B219" s="4">
        <v>45710</v>
      </c>
      <c r="C219" s="1" t="s">
        <v>150</v>
      </c>
      <c r="D219" s="1" t="s">
        <v>151</v>
      </c>
      <c r="E219" s="1" t="s">
        <v>80</v>
      </c>
      <c r="F219" s="1" t="s">
        <v>81</v>
      </c>
      <c r="G219" s="1" t="s">
        <v>19</v>
      </c>
      <c r="H219" s="5">
        <v>1</v>
      </c>
      <c r="I219" s="5">
        <v>699.99</v>
      </c>
      <c r="J219" s="1" t="s">
        <v>34</v>
      </c>
      <c r="K219" s="1" t="s">
        <v>50</v>
      </c>
      <c r="L219" s="1" t="s">
        <v>22</v>
      </c>
      <c r="M219" s="4">
        <v>44934</v>
      </c>
      <c r="N219" s="19">
        <v>699.99</v>
      </c>
      <c r="O219" s="1">
        <f>MONTH(Table1[[#This Row],[Customer_Since]])</f>
        <v>1</v>
      </c>
      <c r="P219" s="1">
        <f>YEAR(Table1[[#This Row],[Customer_Since]])</f>
        <v>2023</v>
      </c>
      <c r="Q219" s="1"/>
      <c r="R219" s="1"/>
      <c r="S219" s="1"/>
      <c r="T219" s="1"/>
      <c r="U219" s="1"/>
      <c r="V219" s="1"/>
      <c r="W219" s="1"/>
      <c r="X219" s="1"/>
      <c r="Y219" s="1"/>
      <c r="Z219" s="1"/>
    </row>
    <row r="220" spans="1:26" ht="15" thickBot="1" x14ac:dyDescent="0.35">
      <c r="A220" s="18" t="s">
        <v>365</v>
      </c>
      <c r="B220" s="4">
        <v>45711</v>
      </c>
      <c r="C220" s="1" t="s">
        <v>246</v>
      </c>
      <c r="D220" s="1" t="s">
        <v>247</v>
      </c>
      <c r="E220" s="1" t="s">
        <v>80</v>
      </c>
      <c r="F220" s="1" t="s">
        <v>81</v>
      </c>
      <c r="G220" s="1" t="s">
        <v>19</v>
      </c>
      <c r="H220" s="5">
        <v>1</v>
      </c>
      <c r="I220" s="5">
        <v>699.99</v>
      </c>
      <c r="J220" s="1" t="s">
        <v>20</v>
      </c>
      <c r="K220" s="1" t="s">
        <v>40</v>
      </c>
      <c r="L220" s="1" t="s">
        <v>27</v>
      </c>
      <c r="M220" s="4">
        <v>44583</v>
      </c>
      <c r="N220" s="19">
        <v>699.99</v>
      </c>
      <c r="O220" s="1">
        <f>MONTH(Table1[[#This Row],[Customer_Since]])</f>
        <v>1</v>
      </c>
      <c r="P220" s="1">
        <f>YEAR(Table1[[#This Row],[Customer_Since]])</f>
        <v>2022</v>
      </c>
      <c r="Q220" s="1"/>
      <c r="R220" s="1"/>
      <c r="S220" s="1"/>
      <c r="T220" s="1"/>
      <c r="U220" s="1"/>
      <c r="V220" s="1"/>
      <c r="W220" s="1"/>
      <c r="X220" s="1"/>
      <c r="Y220" s="1"/>
      <c r="Z220" s="1"/>
    </row>
    <row r="221" spans="1:26" ht="15" thickBot="1" x14ac:dyDescent="0.35">
      <c r="A221" s="18" t="s">
        <v>366</v>
      </c>
      <c r="B221" s="4">
        <v>45711</v>
      </c>
      <c r="C221" s="1" t="s">
        <v>325</v>
      </c>
      <c r="D221" s="1" t="s">
        <v>326</v>
      </c>
      <c r="E221" s="1" t="s">
        <v>44</v>
      </c>
      <c r="F221" s="1" t="s">
        <v>45</v>
      </c>
      <c r="G221" s="1" t="s">
        <v>46</v>
      </c>
      <c r="H221" s="5">
        <v>4</v>
      </c>
      <c r="I221" s="5">
        <v>149.99</v>
      </c>
      <c r="J221" s="1" t="s">
        <v>34</v>
      </c>
      <c r="K221" s="1" t="s">
        <v>40</v>
      </c>
      <c r="L221" s="1" t="s">
        <v>27</v>
      </c>
      <c r="M221" s="4">
        <v>44412</v>
      </c>
      <c r="N221" s="19">
        <v>599.96</v>
      </c>
      <c r="O221" s="1">
        <f>MONTH(Table1[[#This Row],[Customer_Since]])</f>
        <v>8</v>
      </c>
      <c r="P221" s="1">
        <f>YEAR(Table1[[#This Row],[Customer_Since]])</f>
        <v>2021</v>
      </c>
      <c r="Q221" s="1"/>
      <c r="R221" s="1"/>
      <c r="S221" s="1"/>
      <c r="T221" s="1"/>
      <c r="U221" s="1"/>
      <c r="V221" s="1"/>
      <c r="W221" s="1"/>
      <c r="X221" s="1"/>
      <c r="Y221" s="1"/>
      <c r="Z221" s="1"/>
    </row>
    <row r="222" spans="1:26" ht="15" thickBot="1" x14ac:dyDescent="0.35">
      <c r="A222" s="18" t="s">
        <v>367</v>
      </c>
      <c r="B222" s="4">
        <v>45711</v>
      </c>
      <c r="C222" s="1" t="s">
        <v>211</v>
      </c>
      <c r="D222" s="1" t="s">
        <v>212</v>
      </c>
      <c r="E222" s="1" t="s">
        <v>117</v>
      </c>
      <c r="F222" s="1" t="s">
        <v>118</v>
      </c>
      <c r="G222" s="1" t="s">
        <v>19</v>
      </c>
      <c r="H222" s="5">
        <v>5</v>
      </c>
      <c r="I222" s="5">
        <v>89.99</v>
      </c>
      <c r="J222" s="1" t="s">
        <v>34</v>
      </c>
      <c r="K222" s="1" t="s">
        <v>50</v>
      </c>
      <c r="L222" s="1" t="s">
        <v>27</v>
      </c>
      <c r="M222" s="4">
        <v>45140</v>
      </c>
      <c r="N222" s="19">
        <v>449.95</v>
      </c>
      <c r="O222" s="1">
        <f>MONTH(Table1[[#This Row],[Customer_Since]])</f>
        <v>8</v>
      </c>
      <c r="P222" s="1">
        <f>YEAR(Table1[[#This Row],[Customer_Since]])</f>
        <v>2023</v>
      </c>
      <c r="Q222" s="1"/>
      <c r="R222" s="1"/>
      <c r="S222" s="1"/>
      <c r="T222" s="1"/>
      <c r="U222" s="1"/>
      <c r="V222" s="1"/>
      <c r="W222" s="1"/>
      <c r="X222" s="1"/>
      <c r="Y222" s="1"/>
      <c r="Z222" s="1"/>
    </row>
    <row r="223" spans="1:26" ht="15" thickBot="1" x14ac:dyDescent="0.35">
      <c r="A223" s="18" t="s">
        <v>368</v>
      </c>
      <c r="B223" s="4">
        <v>45712</v>
      </c>
      <c r="C223" s="1" t="s">
        <v>138</v>
      </c>
      <c r="D223" s="1" t="s">
        <v>139</v>
      </c>
      <c r="E223" s="1" t="s">
        <v>126</v>
      </c>
      <c r="F223" s="1" t="s">
        <v>127</v>
      </c>
      <c r="G223" s="1" t="s">
        <v>46</v>
      </c>
      <c r="H223" s="5">
        <v>2</v>
      </c>
      <c r="I223" s="5">
        <v>199.99</v>
      </c>
      <c r="J223" s="1" t="s">
        <v>20</v>
      </c>
      <c r="K223" s="1" t="s">
        <v>21</v>
      </c>
      <c r="L223" s="1" t="s">
        <v>27</v>
      </c>
      <c r="M223" s="4">
        <v>44573</v>
      </c>
      <c r="N223" s="19">
        <v>399.98</v>
      </c>
      <c r="O223" s="1">
        <f>MONTH(Table1[[#This Row],[Customer_Since]])</f>
        <v>1</v>
      </c>
      <c r="P223" s="1">
        <f>YEAR(Table1[[#This Row],[Customer_Since]])</f>
        <v>2022</v>
      </c>
      <c r="Q223" s="1"/>
      <c r="R223" s="1"/>
      <c r="S223" s="1"/>
      <c r="T223" s="1"/>
      <c r="U223" s="1"/>
      <c r="V223" s="1"/>
      <c r="W223" s="1"/>
      <c r="X223" s="1"/>
      <c r="Y223" s="1"/>
      <c r="Z223" s="1"/>
    </row>
    <row r="224" spans="1:26" ht="15" thickBot="1" x14ac:dyDescent="0.35">
      <c r="A224" s="18" t="s">
        <v>369</v>
      </c>
      <c r="B224" s="4">
        <v>45715</v>
      </c>
      <c r="C224" s="1" t="s">
        <v>259</v>
      </c>
      <c r="D224" s="1" t="s">
        <v>260</v>
      </c>
      <c r="E224" s="1" t="s">
        <v>31</v>
      </c>
      <c r="F224" s="1" t="s">
        <v>32</v>
      </c>
      <c r="G224" s="1" t="s">
        <v>33</v>
      </c>
      <c r="H224" s="5">
        <v>4</v>
      </c>
      <c r="I224" s="5">
        <v>59.99</v>
      </c>
      <c r="J224" s="1" t="s">
        <v>20</v>
      </c>
      <c r="K224" s="1" t="s">
        <v>50</v>
      </c>
      <c r="L224" s="1" t="s">
        <v>36</v>
      </c>
      <c r="M224" s="4">
        <v>45070</v>
      </c>
      <c r="N224" s="19">
        <v>239.96</v>
      </c>
      <c r="O224" s="1">
        <f>MONTH(Table1[[#This Row],[Customer_Since]])</f>
        <v>5</v>
      </c>
      <c r="P224" s="1">
        <f>YEAR(Table1[[#This Row],[Customer_Since]])</f>
        <v>2023</v>
      </c>
      <c r="Q224" s="1"/>
      <c r="R224" s="1"/>
      <c r="S224" s="1"/>
      <c r="T224" s="1"/>
      <c r="U224" s="1"/>
      <c r="V224" s="1"/>
      <c r="W224" s="1"/>
      <c r="X224" s="1"/>
      <c r="Y224" s="1"/>
      <c r="Z224" s="1"/>
    </row>
    <row r="225" spans="1:26" ht="15" thickBot="1" x14ac:dyDescent="0.35">
      <c r="A225" s="18" t="s">
        <v>370</v>
      </c>
      <c r="B225" s="4">
        <v>45715</v>
      </c>
      <c r="C225" s="1" t="s">
        <v>93</v>
      </c>
      <c r="D225" s="1" t="s">
        <v>94</v>
      </c>
      <c r="E225" s="1" t="s">
        <v>105</v>
      </c>
      <c r="F225" s="1" t="s">
        <v>106</v>
      </c>
      <c r="G225" s="1" t="s">
        <v>46</v>
      </c>
      <c r="H225" s="5">
        <v>2</v>
      </c>
      <c r="I225" s="5">
        <v>299.99</v>
      </c>
      <c r="J225" s="1" t="s">
        <v>34</v>
      </c>
      <c r="K225" s="1" t="s">
        <v>35</v>
      </c>
      <c r="L225" s="1" t="s">
        <v>22</v>
      </c>
      <c r="M225" s="4">
        <v>44576</v>
      </c>
      <c r="N225" s="19">
        <v>599.98</v>
      </c>
      <c r="O225" s="1">
        <f>MONTH(Table1[[#This Row],[Customer_Since]])</f>
        <v>1</v>
      </c>
      <c r="P225" s="1">
        <f>YEAR(Table1[[#This Row],[Customer_Since]])</f>
        <v>2022</v>
      </c>
      <c r="Q225" s="1"/>
      <c r="R225" s="1"/>
      <c r="S225" s="1"/>
      <c r="T225" s="1"/>
      <c r="U225" s="1"/>
      <c r="V225" s="1"/>
      <c r="W225" s="1"/>
      <c r="X225" s="1"/>
      <c r="Y225" s="1"/>
      <c r="Z225" s="1"/>
    </row>
    <row r="226" spans="1:26" ht="15" thickBot="1" x14ac:dyDescent="0.35">
      <c r="A226" s="18" t="s">
        <v>371</v>
      </c>
      <c r="B226" s="4">
        <v>45718</v>
      </c>
      <c r="C226" s="1" t="s">
        <v>55</v>
      </c>
      <c r="D226" s="1" t="s">
        <v>56</v>
      </c>
      <c r="E226" s="1" t="s">
        <v>44</v>
      </c>
      <c r="F226" s="1" t="s">
        <v>45</v>
      </c>
      <c r="G226" s="1" t="s">
        <v>46</v>
      </c>
      <c r="H226" s="5">
        <v>2</v>
      </c>
      <c r="I226" s="5">
        <v>149.99</v>
      </c>
      <c r="J226" s="1" t="s">
        <v>20</v>
      </c>
      <c r="K226" s="1" t="s">
        <v>21</v>
      </c>
      <c r="L226" s="1" t="s">
        <v>22</v>
      </c>
      <c r="M226" s="4">
        <v>45068</v>
      </c>
      <c r="N226" s="19">
        <v>299.98</v>
      </c>
      <c r="O226" s="1">
        <f>MONTH(Table1[[#This Row],[Customer_Since]])</f>
        <v>5</v>
      </c>
      <c r="P226" s="1">
        <f>YEAR(Table1[[#This Row],[Customer_Since]])</f>
        <v>2023</v>
      </c>
      <c r="Q226" s="1"/>
      <c r="R226" s="1"/>
      <c r="S226" s="1"/>
      <c r="T226" s="1"/>
      <c r="U226" s="1"/>
      <c r="V226" s="1"/>
      <c r="W226" s="1"/>
      <c r="X226" s="1"/>
      <c r="Y226" s="1"/>
      <c r="Z226" s="1"/>
    </row>
    <row r="227" spans="1:26" ht="15" thickBot="1" x14ac:dyDescent="0.35">
      <c r="A227" s="18" t="s">
        <v>372</v>
      </c>
      <c r="B227" s="4">
        <v>45720</v>
      </c>
      <c r="C227" s="1" t="s">
        <v>226</v>
      </c>
      <c r="D227" s="1" t="s">
        <v>227</v>
      </c>
      <c r="E227" s="1" t="s">
        <v>80</v>
      </c>
      <c r="F227" s="1" t="s">
        <v>81</v>
      </c>
      <c r="G227" s="1" t="s">
        <v>19</v>
      </c>
      <c r="H227" s="5">
        <v>5</v>
      </c>
      <c r="I227" s="5">
        <v>699.99</v>
      </c>
      <c r="J227" s="1" t="s">
        <v>57</v>
      </c>
      <c r="K227" s="1" t="s">
        <v>63</v>
      </c>
      <c r="L227" s="1" t="s">
        <v>27</v>
      </c>
      <c r="M227" s="4">
        <v>45161</v>
      </c>
      <c r="N227" s="19">
        <v>3499.95</v>
      </c>
      <c r="O227" s="1">
        <f>MONTH(Table1[[#This Row],[Customer_Since]])</f>
        <v>8</v>
      </c>
      <c r="P227" s="1">
        <f>YEAR(Table1[[#This Row],[Customer_Since]])</f>
        <v>2023</v>
      </c>
      <c r="Q227" s="1"/>
      <c r="R227" s="1"/>
      <c r="S227" s="1"/>
      <c r="T227" s="1"/>
      <c r="U227" s="1"/>
      <c r="V227" s="1"/>
      <c r="W227" s="1"/>
      <c r="X227" s="1"/>
      <c r="Y227" s="1"/>
      <c r="Z227" s="1"/>
    </row>
    <row r="228" spans="1:26" ht="15" thickBot="1" x14ac:dyDescent="0.35">
      <c r="A228" s="18" t="s">
        <v>373</v>
      </c>
      <c r="B228" s="4">
        <v>45721</v>
      </c>
      <c r="C228" s="1" t="s">
        <v>75</v>
      </c>
      <c r="D228" s="1" t="s">
        <v>76</v>
      </c>
      <c r="E228" s="1" t="s">
        <v>31</v>
      </c>
      <c r="F228" s="1" t="s">
        <v>32</v>
      </c>
      <c r="G228" s="1" t="s">
        <v>33</v>
      </c>
      <c r="H228" s="5">
        <v>5</v>
      </c>
      <c r="I228" s="5">
        <v>59.99</v>
      </c>
      <c r="J228" s="1" t="s">
        <v>20</v>
      </c>
      <c r="K228" s="1" t="s">
        <v>50</v>
      </c>
      <c r="L228" s="1" t="s">
        <v>27</v>
      </c>
      <c r="M228" s="4">
        <v>45291</v>
      </c>
      <c r="N228" s="19">
        <v>299.95</v>
      </c>
      <c r="O228" s="1">
        <f>MONTH(Table1[[#This Row],[Customer_Since]])</f>
        <v>12</v>
      </c>
      <c r="P228" s="1">
        <f>YEAR(Table1[[#This Row],[Customer_Since]])</f>
        <v>2023</v>
      </c>
      <c r="Q228" s="1"/>
      <c r="R228" s="1"/>
      <c r="S228" s="1"/>
      <c r="T228" s="1"/>
      <c r="U228" s="1"/>
      <c r="V228" s="1"/>
      <c r="W228" s="1"/>
      <c r="X228" s="1"/>
      <c r="Y228" s="1"/>
      <c r="Z228" s="1"/>
    </row>
    <row r="229" spans="1:26" ht="15" thickBot="1" x14ac:dyDescent="0.35">
      <c r="A229" s="18" t="s">
        <v>374</v>
      </c>
      <c r="B229" s="4">
        <v>45723</v>
      </c>
      <c r="C229" s="1" t="s">
        <v>15</v>
      </c>
      <c r="D229" s="1" t="s">
        <v>16</v>
      </c>
      <c r="E229" s="1" t="s">
        <v>117</v>
      </c>
      <c r="F229" s="1" t="s">
        <v>118</v>
      </c>
      <c r="G229" s="1" t="s">
        <v>19</v>
      </c>
      <c r="H229" s="5">
        <v>2</v>
      </c>
      <c r="I229" s="5">
        <v>89.99</v>
      </c>
      <c r="J229" s="1" t="s">
        <v>26</v>
      </c>
      <c r="K229" s="1" t="s">
        <v>50</v>
      </c>
      <c r="L229" s="1" t="s">
        <v>27</v>
      </c>
      <c r="M229" s="4">
        <v>45295</v>
      </c>
      <c r="N229" s="19">
        <v>179.98</v>
      </c>
      <c r="O229" s="1">
        <f>MONTH(Table1[[#This Row],[Customer_Since]])</f>
        <v>1</v>
      </c>
      <c r="P229" s="1">
        <f>YEAR(Table1[[#This Row],[Customer_Since]])</f>
        <v>2024</v>
      </c>
      <c r="Q229" s="1"/>
      <c r="R229" s="1"/>
      <c r="S229" s="1"/>
      <c r="T229" s="1"/>
      <c r="U229" s="1"/>
      <c r="V229" s="1"/>
      <c r="W229" s="1"/>
      <c r="X229" s="1"/>
      <c r="Y229" s="1"/>
      <c r="Z229" s="1"/>
    </row>
    <row r="230" spans="1:26" ht="15" thickBot="1" x14ac:dyDescent="0.35">
      <c r="A230" s="18" t="s">
        <v>375</v>
      </c>
      <c r="B230" s="4">
        <v>45723</v>
      </c>
      <c r="C230" s="1" t="s">
        <v>120</v>
      </c>
      <c r="D230" s="1" t="s">
        <v>121</v>
      </c>
      <c r="E230" s="1" t="s">
        <v>17</v>
      </c>
      <c r="F230" s="1" t="s">
        <v>18</v>
      </c>
      <c r="G230" s="1" t="s">
        <v>19</v>
      </c>
      <c r="H230" s="5">
        <v>5</v>
      </c>
      <c r="I230" s="5">
        <v>249.99</v>
      </c>
      <c r="J230" s="1" t="s">
        <v>20</v>
      </c>
      <c r="K230" s="1" t="s">
        <v>63</v>
      </c>
      <c r="L230" s="1" t="s">
        <v>36</v>
      </c>
      <c r="M230" s="4">
        <v>44540</v>
      </c>
      <c r="N230" s="19">
        <v>1249.95</v>
      </c>
      <c r="O230" s="1">
        <f>MONTH(Table1[[#This Row],[Customer_Since]])</f>
        <v>12</v>
      </c>
      <c r="P230" s="1">
        <f>YEAR(Table1[[#This Row],[Customer_Since]])</f>
        <v>2021</v>
      </c>
      <c r="Q230" s="1"/>
      <c r="R230" s="1"/>
      <c r="S230" s="1"/>
      <c r="T230" s="1"/>
      <c r="U230" s="1"/>
      <c r="V230" s="1"/>
      <c r="W230" s="1"/>
      <c r="X230" s="1"/>
      <c r="Y230" s="1"/>
      <c r="Z230" s="1"/>
    </row>
    <row r="231" spans="1:26" ht="15" thickBot="1" x14ac:dyDescent="0.35">
      <c r="A231" s="18" t="s">
        <v>376</v>
      </c>
      <c r="B231" s="4">
        <v>45724</v>
      </c>
      <c r="C231" s="1" t="s">
        <v>226</v>
      </c>
      <c r="D231" s="1" t="s">
        <v>227</v>
      </c>
      <c r="E231" s="1" t="s">
        <v>44</v>
      </c>
      <c r="F231" s="1" t="s">
        <v>45</v>
      </c>
      <c r="G231" s="1" t="s">
        <v>46</v>
      </c>
      <c r="H231" s="5">
        <v>2</v>
      </c>
      <c r="I231" s="5">
        <v>149.99</v>
      </c>
      <c r="J231" s="1" t="s">
        <v>34</v>
      </c>
      <c r="K231" s="1" t="s">
        <v>21</v>
      </c>
      <c r="L231" s="1" t="s">
        <v>27</v>
      </c>
      <c r="M231" s="4">
        <v>44632</v>
      </c>
      <c r="N231" s="19">
        <v>299.98</v>
      </c>
      <c r="O231" s="1">
        <f>MONTH(Table1[[#This Row],[Customer_Since]])</f>
        <v>3</v>
      </c>
      <c r="P231" s="1">
        <f>YEAR(Table1[[#This Row],[Customer_Since]])</f>
        <v>2022</v>
      </c>
      <c r="Q231" s="1"/>
      <c r="R231" s="1"/>
      <c r="S231" s="1"/>
      <c r="T231" s="1"/>
      <c r="U231" s="1"/>
      <c r="V231" s="1"/>
      <c r="W231" s="1"/>
      <c r="X231" s="1"/>
      <c r="Y231" s="1"/>
      <c r="Z231" s="1"/>
    </row>
    <row r="232" spans="1:26" ht="15" thickBot="1" x14ac:dyDescent="0.35">
      <c r="A232" s="18" t="s">
        <v>377</v>
      </c>
      <c r="B232" s="4">
        <v>45724</v>
      </c>
      <c r="C232" s="1" t="s">
        <v>144</v>
      </c>
      <c r="D232" s="1" t="s">
        <v>145</v>
      </c>
      <c r="E232" s="1" t="s">
        <v>61</v>
      </c>
      <c r="F232" s="1" t="s">
        <v>62</v>
      </c>
      <c r="G232" s="1" t="s">
        <v>19</v>
      </c>
      <c r="H232" s="5">
        <v>5</v>
      </c>
      <c r="I232" s="5">
        <v>899.99</v>
      </c>
      <c r="J232" s="1" t="s">
        <v>34</v>
      </c>
      <c r="K232" s="1" t="s">
        <v>63</v>
      </c>
      <c r="L232" s="1" t="s">
        <v>27</v>
      </c>
      <c r="M232" s="4">
        <v>45389</v>
      </c>
      <c r="N232" s="19">
        <v>4499.95</v>
      </c>
      <c r="O232" s="1">
        <f>MONTH(Table1[[#This Row],[Customer_Since]])</f>
        <v>4</v>
      </c>
      <c r="P232" s="1">
        <f>YEAR(Table1[[#This Row],[Customer_Since]])</f>
        <v>2024</v>
      </c>
      <c r="Q232" s="1"/>
      <c r="R232" s="1"/>
      <c r="S232" s="1"/>
      <c r="T232" s="1"/>
      <c r="U232" s="1"/>
      <c r="V232" s="1"/>
      <c r="W232" s="1"/>
      <c r="X232" s="1"/>
      <c r="Y232" s="1"/>
      <c r="Z232" s="1"/>
    </row>
    <row r="233" spans="1:26" ht="15" thickBot="1" x14ac:dyDescent="0.35">
      <c r="A233" s="18" t="s">
        <v>378</v>
      </c>
      <c r="B233" s="4">
        <v>45724</v>
      </c>
      <c r="C233" s="1" t="s">
        <v>55</v>
      </c>
      <c r="D233" s="1" t="s">
        <v>56</v>
      </c>
      <c r="E233" s="1" t="s">
        <v>44</v>
      </c>
      <c r="F233" s="1" t="s">
        <v>45</v>
      </c>
      <c r="G233" s="1" t="s">
        <v>46</v>
      </c>
      <c r="H233" s="5">
        <v>4</v>
      </c>
      <c r="I233" s="5">
        <v>149.99</v>
      </c>
      <c r="J233" s="1" t="s">
        <v>20</v>
      </c>
      <c r="K233" s="1" t="s">
        <v>21</v>
      </c>
      <c r="L233" s="1" t="s">
        <v>36</v>
      </c>
      <c r="M233" s="4">
        <v>45263</v>
      </c>
      <c r="N233" s="19">
        <v>599.96</v>
      </c>
      <c r="O233" s="1">
        <f>MONTH(Table1[[#This Row],[Customer_Since]])</f>
        <v>12</v>
      </c>
      <c r="P233" s="1">
        <f>YEAR(Table1[[#This Row],[Customer_Since]])</f>
        <v>2023</v>
      </c>
      <c r="Q233" s="1"/>
      <c r="R233" s="1"/>
      <c r="S233" s="1"/>
      <c r="T233" s="1"/>
      <c r="U233" s="1"/>
      <c r="V233" s="1"/>
      <c r="W233" s="1"/>
      <c r="X233" s="1"/>
      <c r="Y233" s="1"/>
      <c r="Z233" s="1"/>
    </row>
    <row r="234" spans="1:26" ht="15" thickBot="1" x14ac:dyDescent="0.35">
      <c r="A234" s="18" t="s">
        <v>379</v>
      </c>
      <c r="B234" s="4">
        <v>45726</v>
      </c>
      <c r="C234" s="1" t="s">
        <v>144</v>
      </c>
      <c r="D234" s="1" t="s">
        <v>145</v>
      </c>
      <c r="E234" s="1" t="s">
        <v>17</v>
      </c>
      <c r="F234" s="1" t="s">
        <v>18</v>
      </c>
      <c r="G234" s="1" t="s">
        <v>19</v>
      </c>
      <c r="H234" s="5">
        <v>1</v>
      </c>
      <c r="I234" s="5">
        <v>249.99</v>
      </c>
      <c r="J234" s="1" t="s">
        <v>20</v>
      </c>
      <c r="K234" s="1" t="s">
        <v>40</v>
      </c>
      <c r="L234" s="1" t="s">
        <v>36</v>
      </c>
      <c r="M234" s="4">
        <v>45117</v>
      </c>
      <c r="N234" s="19">
        <v>249.99</v>
      </c>
      <c r="O234" s="1">
        <f>MONTH(Table1[[#This Row],[Customer_Since]])</f>
        <v>7</v>
      </c>
      <c r="P234" s="1">
        <f>YEAR(Table1[[#This Row],[Customer_Since]])</f>
        <v>2023</v>
      </c>
      <c r="Q234" s="1"/>
      <c r="R234" s="1"/>
      <c r="S234" s="1"/>
      <c r="T234" s="1"/>
      <c r="U234" s="1"/>
      <c r="V234" s="1"/>
      <c r="W234" s="1"/>
      <c r="X234" s="1"/>
      <c r="Y234" s="1"/>
      <c r="Z234" s="1"/>
    </row>
    <row r="235" spans="1:26" ht="15" thickBot="1" x14ac:dyDescent="0.35">
      <c r="A235" s="18" t="s">
        <v>380</v>
      </c>
      <c r="B235" s="4">
        <v>45734</v>
      </c>
      <c r="C235" s="1" t="s">
        <v>192</v>
      </c>
      <c r="D235" s="1" t="s">
        <v>193</v>
      </c>
      <c r="E235" s="1" t="s">
        <v>31</v>
      </c>
      <c r="F235" s="1" t="s">
        <v>32</v>
      </c>
      <c r="G235" s="1" t="s">
        <v>33</v>
      </c>
      <c r="H235" s="5">
        <v>2</v>
      </c>
      <c r="I235" s="5">
        <v>59.99</v>
      </c>
      <c r="J235" s="1" t="s">
        <v>26</v>
      </c>
      <c r="K235" s="1" t="s">
        <v>50</v>
      </c>
      <c r="L235" s="1" t="s">
        <v>22</v>
      </c>
      <c r="M235" s="4">
        <v>45193</v>
      </c>
      <c r="N235" s="19">
        <v>119.98</v>
      </c>
      <c r="O235" s="1">
        <f>MONTH(Table1[[#This Row],[Customer_Since]])</f>
        <v>9</v>
      </c>
      <c r="P235" s="1">
        <f>YEAR(Table1[[#This Row],[Customer_Since]])</f>
        <v>2023</v>
      </c>
      <c r="Q235" s="1"/>
      <c r="R235" s="1"/>
      <c r="S235" s="1"/>
      <c r="T235" s="1"/>
      <c r="U235" s="1"/>
      <c r="V235" s="1"/>
      <c r="W235" s="1"/>
      <c r="X235" s="1"/>
      <c r="Y235" s="1"/>
      <c r="Z235" s="1"/>
    </row>
    <row r="236" spans="1:26" ht="15" thickBot="1" x14ac:dyDescent="0.35">
      <c r="A236" s="18" t="s">
        <v>381</v>
      </c>
      <c r="B236" s="4">
        <v>45737</v>
      </c>
      <c r="C236" s="1" t="s">
        <v>132</v>
      </c>
      <c r="D236" s="1" t="s">
        <v>133</v>
      </c>
      <c r="E236" s="1" t="s">
        <v>44</v>
      </c>
      <c r="F236" s="1" t="s">
        <v>45</v>
      </c>
      <c r="G236" s="1" t="s">
        <v>46</v>
      </c>
      <c r="H236" s="5">
        <v>2</v>
      </c>
      <c r="I236" s="5">
        <v>149.99</v>
      </c>
      <c r="J236" s="1" t="s">
        <v>20</v>
      </c>
      <c r="K236" s="1" t="s">
        <v>50</v>
      </c>
      <c r="L236" s="1" t="s">
        <v>27</v>
      </c>
      <c r="M236" s="4">
        <v>45233</v>
      </c>
      <c r="N236" s="19">
        <v>299.98</v>
      </c>
      <c r="O236" s="1">
        <f>MONTH(Table1[[#This Row],[Customer_Since]])</f>
        <v>11</v>
      </c>
      <c r="P236" s="1">
        <f>YEAR(Table1[[#This Row],[Customer_Since]])</f>
        <v>2023</v>
      </c>
      <c r="Q236" s="1"/>
      <c r="R236" s="1"/>
      <c r="S236" s="1"/>
      <c r="T236" s="1"/>
      <c r="U236" s="1"/>
      <c r="V236" s="1"/>
      <c r="W236" s="1"/>
      <c r="X236" s="1"/>
      <c r="Y236" s="1"/>
      <c r="Z236" s="1"/>
    </row>
    <row r="237" spans="1:26" ht="15" thickBot="1" x14ac:dyDescent="0.35">
      <c r="A237" s="18" t="s">
        <v>382</v>
      </c>
      <c r="B237" s="4">
        <v>45737</v>
      </c>
      <c r="C237" s="1" t="s">
        <v>150</v>
      </c>
      <c r="D237" s="1" t="s">
        <v>151</v>
      </c>
      <c r="E237" s="1" t="s">
        <v>61</v>
      </c>
      <c r="F237" s="1" t="s">
        <v>62</v>
      </c>
      <c r="G237" s="1" t="s">
        <v>19</v>
      </c>
      <c r="H237" s="5">
        <v>3</v>
      </c>
      <c r="I237" s="5">
        <v>899.99</v>
      </c>
      <c r="J237" s="1" t="s">
        <v>57</v>
      </c>
      <c r="K237" s="1" t="s">
        <v>40</v>
      </c>
      <c r="L237" s="1" t="s">
        <v>27</v>
      </c>
      <c r="M237" s="4">
        <v>44876</v>
      </c>
      <c r="N237" s="19">
        <v>2699.97</v>
      </c>
      <c r="O237" s="1">
        <f>MONTH(Table1[[#This Row],[Customer_Since]])</f>
        <v>11</v>
      </c>
      <c r="P237" s="1">
        <f>YEAR(Table1[[#This Row],[Customer_Since]])</f>
        <v>2022</v>
      </c>
      <c r="Q237" s="1"/>
      <c r="R237" s="1"/>
      <c r="S237" s="1"/>
      <c r="T237" s="1"/>
      <c r="U237" s="1"/>
      <c r="V237" s="1"/>
      <c r="W237" s="1"/>
      <c r="X237" s="1"/>
      <c r="Y237" s="1"/>
      <c r="Z237" s="1"/>
    </row>
    <row r="238" spans="1:26" ht="15" thickBot="1" x14ac:dyDescent="0.35">
      <c r="A238" s="18" t="s">
        <v>383</v>
      </c>
      <c r="B238" s="4">
        <v>45737</v>
      </c>
      <c r="C238" s="1" t="s">
        <v>48</v>
      </c>
      <c r="D238" s="1" t="s">
        <v>49</v>
      </c>
      <c r="E238" s="1" t="s">
        <v>61</v>
      </c>
      <c r="F238" s="1" t="s">
        <v>62</v>
      </c>
      <c r="G238" s="1" t="s">
        <v>19</v>
      </c>
      <c r="H238" s="5">
        <v>3</v>
      </c>
      <c r="I238" s="5">
        <v>899.99</v>
      </c>
      <c r="J238" s="1" t="s">
        <v>34</v>
      </c>
      <c r="K238" s="1" t="s">
        <v>40</v>
      </c>
      <c r="L238" s="1" t="s">
        <v>22</v>
      </c>
      <c r="M238" s="4">
        <v>44975</v>
      </c>
      <c r="N238" s="19">
        <v>2699.97</v>
      </c>
      <c r="O238" s="1">
        <f>MONTH(Table1[[#This Row],[Customer_Since]])</f>
        <v>2</v>
      </c>
      <c r="P238" s="1">
        <f>YEAR(Table1[[#This Row],[Customer_Since]])</f>
        <v>2023</v>
      </c>
      <c r="Q238" s="1"/>
      <c r="R238" s="1"/>
      <c r="S238" s="1"/>
      <c r="T238" s="1"/>
      <c r="U238" s="1"/>
      <c r="V238" s="1"/>
      <c r="W238" s="1"/>
      <c r="X238" s="1"/>
      <c r="Y238" s="1"/>
      <c r="Z238" s="1"/>
    </row>
    <row r="239" spans="1:26" ht="15" thickBot="1" x14ac:dyDescent="0.35">
      <c r="A239" s="18" t="s">
        <v>384</v>
      </c>
      <c r="B239" s="4">
        <v>45739</v>
      </c>
      <c r="C239" s="1" t="s">
        <v>15</v>
      </c>
      <c r="D239" s="1" t="s">
        <v>16</v>
      </c>
      <c r="E239" s="1" t="s">
        <v>105</v>
      </c>
      <c r="F239" s="1" t="s">
        <v>106</v>
      </c>
      <c r="G239" s="1" t="s">
        <v>46</v>
      </c>
      <c r="H239" s="5">
        <v>3</v>
      </c>
      <c r="I239" s="5">
        <v>299.99</v>
      </c>
      <c r="J239" s="1" t="s">
        <v>26</v>
      </c>
      <c r="K239" s="1" t="s">
        <v>50</v>
      </c>
      <c r="L239" s="1" t="s">
        <v>27</v>
      </c>
      <c r="M239" s="4">
        <v>45234</v>
      </c>
      <c r="N239" s="19">
        <v>899.97</v>
      </c>
      <c r="O239" s="1">
        <f>MONTH(Table1[[#This Row],[Customer_Since]])</f>
        <v>11</v>
      </c>
      <c r="P239" s="1">
        <f>YEAR(Table1[[#This Row],[Customer_Since]])</f>
        <v>2023</v>
      </c>
      <c r="Q239" s="1"/>
      <c r="R239" s="1"/>
      <c r="S239" s="1"/>
      <c r="T239" s="1"/>
      <c r="U239" s="1"/>
      <c r="V239" s="1"/>
      <c r="W239" s="1"/>
      <c r="X239" s="1"/>
      <c r="Y239" s="1"/>
      <c r="Z239" s="1"/>
    </row>
    <row r="240" spans="1:26" ht="15" thickBot="1" x14ac:dyDescent="0.35">
      <c r="A240" s="18" t="s">
        <v>385</v>
      </c>
      <c r="B240" s="4">
        <v>45740</v>
      </c>
      <c r="C240" s="1" t="s">
        <v>386</v>
      </c>
      <c r="D240" s="1" t="s">
        <v>387</v>
      </c>
      <c r="E240" s="1" t="s">
        <v>44</v>
      </c>
      <c r="F240" s="1" t="s">
        <v>45</v>
      </c>
      <c r="G240" s="1" t="s">
        <v>46</v>
      </c>
      <c r="H240" s="5">
        <v>4</v>
      </c>
      <c r="I240" s="5">
        <v>149.99</v>
      </c>
      <c r="J240" s="1" t="s">
        <v>34</v>
      </c>
      <c r="K240" s="1" t="s">
        <v>50</v>
      </c>
      <c r="L240" s="1" t="s">
        <v>36</v>
      </c>
      <c r="M240" s="4">
        <v>44560</v>
      </c>
      <c r="N240" s="19">
        <v>599.96</v>
      </c>
      <c r="O240" s="1">
        <f>MONTH(Table1[[#This Row],[Customer_Since]])</f>
        <v>12</v>
      </c>
      <c r="P240" s="1">
        <f>YEAR(Table1[[#This Row],[Customer_Since]])</f>
        <v>2021</v>
      </c>
      <c r="Q240" s="1"/>
      <c r="R240" s="1"/>
      <c r="S240" s="1"/>
      <c r="T240" s="1"/>
      <c r="U240" s="1"/>
      <c r="V240" s="1"/>
      <c r="W240" s="1"/>
      <c r="X240" s="1"/>
      <c r="Y240" s="1"/>
      <c r="Z240" s="1"/>
    </row>
    <row r="241" spans="1:26" ht="15" thickBot="1" x14ac:dyDescent="0.35">
      <c r="A241" s="18" t="s">
        <v>388</v>
      </c>
      <c r="B241" s="4">
        <v>45743</v>
      </c>
      <c r="C241" s="1" t="s">
        <v>102</v>
      </c>
      <c r="D241" s="1" t="s">
        <v>103</v>
      </c>
      <c r="E241" s="1" t="s">
        <v>114</v>
      </c>
      <c r="F241" s="1" t="s">
        <v>115</v>
      </c>
      <c r="G241" s="1" t="s">
        <v>33</v>
      </c>
      <c r="H241" s="5">
        <v>4</v>
      </c>
      <c r="I241" s="5">
        <v>79.989999999999995</v>
      </c>
      <c r="J241" s="1" t="s">
        <v>26</v>
      </c>
      <c r="K241" s="1" t="s">
        <v>21</v>
      </c>
      <c r="L241" s="1" t="s">
        <v>22</v>
      </c>
      <c r="M241" s="4">
        <v>45288</v>
      </c>
      <c r="N241" s="19">
        <v>319.95999999999998</v>
      </c>
      <c r="O241" s="1">
        <f>MONTH(Table1[[#This Row],[Customer_Since]])</f>
        <v>12</v>
      </c>
      <c r="P241" s="1">
        <f>YEAR(Table1[[#This Row],[Customer_Since]])</f>
        <v>2023</v>
      </c>
      <c r="Q241" s="1"/>
      <c r="R241" s="1"/>
      <c r="S241" s="1"/>
      <c r="T241" s="1"/>
      <c r="U241" s="1"/>
      <c r="V241" s="1"/>
      <c r="W241" s="1"/>
      <c r="X241" s="1"/>
      <c r="Y241" s="1"/>
      <c r="Z241" s="1"/>
    </row>
    <row r="242" spans="1:26" ht="15" thickBot="1" x14ac:dyDescent="0.35">
      <c r="A242" s="18" t="s">
        <v>389</v>
      </c>
      <c r="B242" s="4">
        <v>45745</v>
      </c>
      <c r="C242" s="1" t="s">
        <v>185</v>
      </c>
      <c r="D242" s="1" t="s">
        <v>186</v>
      </c>
      <c r="E242" s="1" t="s">
        <v>117</v>
      </c>
      <c r="F242" s="1" t="s">
        <v>118</v>
      </c>
      <c r="G242" s="1" t="s">
        <v>19</v>
      </c>
      <c r="H242" s="5">
        <v>5</v>
      </c>
      <c r="I242" s="5">
        <v>89.99</v>
      </c>
      <c r="J242" s="1" t="s">
        <v>34</v>
      </c>
      <c r="K242" s="1" t="s">
        <v>35</v>
      </c>
      <c r="L242" s="1" t="s">
        <v>22</v>
      </c>
      <c r="M242" s="4">
        <v>44704</v>
      </c>
      <c r="N242" s="19">
        <v>449.95</v>
      </c>
      <c r="O242" s="1">
        <f>MONTH(Table1[[#This Row],[Customer_Since]])</f>
        <v>5</v>
      </c>
      <c r="P242" s="1">
        <f>YEAR(Table1[[#This Row],[Customer_Since]])</f>
        <v>2022</v>
      </c>
      <c r="Q242" s="1"/>
      <c r="R242" s="1"/>
      <c r="S242" s="1"/>
      <c r="T242" s="1"/>
      <c r="U242" s="1"/>
      <c r="V242" s="1"/>
      <c r="W242" s="1"/>
      <c r="X242" s="1"/>
      <c r="Y242" s="1"/>
      <c r="Z242" s="1"/>
    </row>
    <row r="243" spans="1:26" ht="15" thickBot="1" x14ac:dyDescent="0.35">
      <c r="A243" s="18" t="s">
        <v>390</v>
      </c>
      <c r="B243" s="4">
        <v>45746</v>
      </c>
      <c r="C243" s="1" t="s">
        <v>93</v>
      </c>
      <c r="D243" s="1" t="s">
        <v>94</v>
      </c>
      <c r="E243" s="1" t="s">
        <v>44</v>
      </c>
      <c r="F243" s="1" t="s">
        <v>45</v>
      </c>
      <c r="G243" s="1" t="s">
        <v>46</v>
      </c>
      <c r="H243" s="5">
        <v>3</v>
      </c>
      <c r="I243" s="5">
        <v>149.99</v>
      </c>
      <c r="J243" s="1" t="s">
        <v>34</v>
      </c>
      <c r="K243" s="1" t="s">
        <v>21</v>
      </c>
      <c r="L243" s="1" t="s">
        <v>36</v>
      </c>
      <c r="M243" s="4">
        <v>45171</v>
      </c>
      <c r="N243" s="19">
        <v>449.97</v>
      </c>
      <c r="O243" s="1">
        <f>MONTH(Table1[[#This Row],[Customer_Since]])</f>
        <v>9</v>
      </c>
      <c r="P243" s="1">
        <f>YEAR(Table1[[#This Row],[Customer_Since]])</f>
        <v>2023</v>
      </c>
      <c r="Q243" s="1"/>
      <c r="R243" s="1"/>
      <c r="S243" s="1"/>
      <c r="T243" s="1"/>
      <c r="U243" s="1"/>
      <c r="V243" s="1"/>
      <c r="W243" s="1"/>
      <c r="X243" s="1"/>
      <c r="Y243" s="1"/>
      <c r="Z243" s="1"/>
    </row>
    <row r="244" spans="1:26" ht="15" thickBot="1" x14ac:dyDescent="0.35">
      <c r="A244" s="18" t="s">
        <v>391</v>
      </c>
      <c r="B244" s="4">
        <v>45746</v>
      </c>
      <c r="C244" s="1" t="s">
        <v>65</v>
      </c>
      <c r="D244" s="1" t="s">
        <v>66</v>
      </c>
      <c r="E244" s="1" t="s">
        <v>117</v>
      </c>
      <c r="F244" s="1" t="s">
        <v>118</v>
      </c>
      <c r="G244" s="1" t="s">
        <v>19</v>
      </c>
      <c r="H244" s="5">
        <v>2</v>
      </c>
      <c r="I244" s="5">
        <v>89.99</v>
      </c>
      <c r="J244" s="1" t="s">
        <v>57</v>
      </c>
      <c r="K244" s="1" t="s">
        <v>50</v>
      </c>
      <c r="L244" s="1" t="s">
        <v>27</v>
      </c>
      <c r="M244" s="4">
        <v>44522</v>
      </c>
      <c r="N244" s="19">
        <v>179.98</v>
      </c>
      <c r="O244" s="1">
        <f>MONTH(Table1[[#This Row],[Customer_Since]])</f>
        <v>11</v>
      </c>
      <c r="P244" s="1">
        <f>YEAR(Table1[[#This Row],[Customer_Since]])</f>
        <v>2021</v>
      </c>
      <c r="Q244" s="1"/>
      <c r="R244" s="1"/>
      <c r="S244" s="1"/>
      <c r="T244" s="1"/>
      <c r="U244" s="1"/>
      <c r="V244" s="1"/>
      <c r="W244" s="1"/>
      <c r="X244" s="1"/>
      <c r="Y244" s="1"/>
      <c r="Z244" s="1"/>
    </row>
    <row r="245" spans="1:26" ht="15" thickBot="1" x14ac:dyDescent="0.35">
      <c r="A245" s="18" t="s">
        <v>392</v>
      </c>
      <c r="B245" s="4">
        <v>45748</v>
      </c>
      <c r="C245" s="1" t="s">
        <v>102</v>
      </c>
      <c r="D245" s="1" t="s">
        <v>103</v>
      </c>
      <c r="E245" s="1" t="s">
        <v>80</v>
      </c>
      <c r="F245" s="1" t="s">
        <v>81</v>
      </c>
      <c r="G245" s="1" t="s">
        <v>19</v>
      </c>
      <c r="H245" s="5">
        <v>2</v>
      </c>
      <c r="I245" s="5">
        <v>699.99</v>
      </c>
      <c r="J245" s="1" t="s">
        <v>34</v>
      </c>
      <c r="K245" s="1" t="s">
        <v>40</v>
      </c>
      <c r="L245" s="1" t="s">
        <v>36</v>
      </c>
      <c r="M245" s="4">
        <v>44618</v>
      </c>
      <c r="N245" s="19">
        <v>1399.98</v>
      </c>
      <c r="O245" s="1">
        <f>MONTH(Table1[[#This Row],[Customer_Since]])</f>
        <v>2</v>
      </c>
      <c r="P245" s="1">
        <f>YEAR(Table1[[#This Row],[Customer_Since]])</f>
        <v>2022</v>
      </c>
      <c r="Q245" s="1"/>
      <c r="R245" s="1"/>
      <c r="S245" s="1"/>
      <c r="T245" s="1"/>
      <c r="U245" s="1"/>
      <c r="V245" s="1"/>
      <c r="W245" s="1"/>
      <c r="X245" s="1"/>
      <c r="Y245" s="1"/>
      <c r="Z245" s="1"/>
    </row>
    <row r="246" spans="1:26" ht="15" thickBot="1" x14ac:dyDescent="0.35">
      <c r="A246" s="18" t="s">
        <v>393</v>
      </c>
      <c r="B246" s="4">
        <v>45749</v>
      </c>
      <c r="C246" s="1" t="s">
        <v>123</v>
      </c>
      <c r="D246" s="1" t="s">
        <v>124</v>
      </c>
      <c r="E246" s="1" t="s">
        <v>61</v>
      </c>
      <c r="F246" s="1" t="s">
        <v>62</v>
      </c>
      <c r="G246" s="1" t="s">
        <v>19</v>
      </c>
      <c r="H246" s="5">
        <v>3</v>
      </c>
      <c r="I246" s="5">
        <v>899.99</v>
      </c>
      <c r="J246" s="1" t="s">
        <v>20</v>
      </c>
      <c r="K246" s="1" t="s">
        <v>21</v>
      </c>
      <c r="L246" s="1" t="s">
        <v>36</v>
      </c>
      <c r="M246" s="4">
        <v>44953</v>
      </c>
      <c r="N246" s="19">
        <v>2699.97</v>
      </c>
      <c r="O246" s="1">
        <f>MONTH(Table1[[#This Row],[Customer_Since]])</f>
        <v>1</v>
      </c>
      <c r="P246" s="1">
        <f>YEAR(Table1[[#This Row],[Customer_Since]])</f>
        <v>2023</v>
      </c>
      <c r="Q246" s="1"/>
      <c r="R246" s="1"/>
      <c r="S246" s="1"/>
      <c r="T246" s="1"/>
      <c r="U246" s="1"/>
      <c r="V246" s="1"/>
      <c r="W246" s="1"/>
      <c r="X246" s="1"/>
      <c r="Y246" s="1"/>
      <c r="Z246" s="1"/>
    </row>
    <row r="247" spans="1:26" ht="15" thickBot="1" x14ac:dyDescent="0.35">
      <c r="A247" s="18" t="s">
        <v>394</v>
      </c>
      <c r="B247" s="4">
        <v>45755</v>
      </c>
      <c r="C247" s="1" t="s">
        <v>93</v>
      </c>
      <c r="D247" s="1" t="s">
        <v>94</v>
      </c>
      <c r="E247" s="1" t="s">
        <v>114</v>
      </c>
      <c r="F247" s="1" t="s">
        <v>115</v>
      </c>
      <c r="G247" s="1" t="s">
        <v>33</v>
      </c>
      <c r="H247" s="5">
        <v>3</v>
      </c>
      <c r="I247" s="5">
        <v>79.989999999999995</v>
      </c>
      <c r="J247" s="1" t="s">
        <v>26</v>
      </c>
      <c r="K247" s="1" t="s">
        <v>40</v>
      </c>
      <c r="L247" s="1" t="s">
        <v>22</v>
      </c>
      <c r="M247" s="4">
        <v>44511</v>
      </c>
      <c r="N247" s="19">
        <v>239.97</v>
      </c>
      <c r="O247" s="1">
        <f>MONTH(Table1[[#This Row],[Customer_Since]])</f>
        <v>11</v>
      </c>
      <c r="P247" s="1">
        <f>YEAR(Table1[[#This Row],[Customer_Since]])</f>
        <v>2021</v>
      </c>
      <c r="Q247" s="1"/>
      <c r="R247" s="1"/>
      <c r="S247" s="1"/>
      <c r="T247" s="1"/>
      <c r="U247" s="1"/>
      <c r="V247" s="1"/>
      <c r="W247" s="1"/>
      <c r="X247" s="1"/>
      <c r="Y247" s="1"/>
      <c r="Z247" s="1"/>
    </row>
    <row r="248" spans="1:26" ht="15" thickBot="1" x14ac:dyDescent="0.35">
      <c r="A248" s="18" t="s">
        <v>395</v>
      </c>
      <c r="B248" s="4">
        <v>45756</v>
      </c>
      <c r="C248" s="1" t="s">
        <v>59</v>
      </c>
      <c r="D248" s="1" t="s">
        <v>60</v>
      </c>
      <c r="E248" s="1" t="s">
        <v>117</v>
      </c>
      <c r="F248" s="1" t="s">
        <v>118</v>
      </c>
      <c r="G248" s="1" t="s">
        <v>19</v>
      </c>
      <c r="H248" s="5">
        <v>1</v>
      </c>
      <c r="I248" s="5">
        <v>89.99</v>
      </c>
      <c r="J248" s="1" t="s">
        <v>57</v>
      </c>
      <c r="K248" s="1" t="s">
        <v>63</v>
      </c>
      <c r="L248" s="1" t="s">
        <v>22</v>
      </c>
      <c r="M248" s="4">
        <v>45346</v>
      </c>
      <c r="N248" s="19">
        <v>89.99</v>
      </c>
      <c r="O248" s="1">
        <f>MONTH(Table1[[#This Row],[Customer_Since]])</f>
        <v>2</v>
      </c>
      <c r="P248" s="1">
        <f>YEAR(Table1[[#This Row],[Customer_Since]])</f>
        <v>2024</v>
      </c>
      <c r="Q248" s="1"/>
      <c r="R248" s="1"/>
      <c r="S248" s="1"/>
      <c r="T248" s="1"/>
      <c r="U248" s="1"/>
      <c r="V248" s="1"/>
      <c r="W248" s="1"/>
      <c r="X248" s="1"/>
      <c r="Y248" s="1"/>
      <c r="Z248" s="1"/>
    </row>
    <row r="249" spans="1:26" ht="15" thickBot="1" x14ac:dyDescent="0.35">
      <c r="A249" s="18" t="s">
        <v>396</v>
      </c>
      <c r="B249" s="4">
        <v>45758</v>
      </c>
      <c r="C249" s="1" t="s">
        <v>293</v>
      </c>
      <c r="D249" s="1" t="s">
        <v>294</v>
      </c>
      <c r="E249" s="1" t="s">
        <v>80</v>
      </c>
      <c r="F249" s="1" t="s">
        <v>81</v>
      </c>
      <c r="G249" s="1" t="s">
        <v>19</v>
      </c>
      <c r="H249" s="5">
        <v>3</v>
      </c>
      <c r="I249" s="5">
        <v>699.99</v>
      </c>
      <c r="J249" s="1" t="s">
        <v>34</v>
      </c>
      <c r="K249" s="1" t="s">
        <v>40</v>
      </c>
      <c r="L249" s="1" t="s">
        <v>22</v>
      </c>
      <c r="M249" s="4">
        <v>44909</v>
      </c>
      <c r="N249" s="19">
        <v>2099.9699999999998</v>
      </c>
      <c r="O249" s="1">
        <f>MONTH(Table1[[#This Row],[Customer_Since]])</f>
        <v>12</v>
      </c>
      <c r="P249" s="1">
        <f>YEAR(Table1[[#This Row],[Customer_Since]])</f>
        <v>2022</v>
      </c>
      <c r="Q249" s="1"/>
      <c r="R249" s="1"/>
      <c r="S249" s="1"/>
      <c r="T249" s="1"/>
      <c r="U249" s="1"/>
      <c r="V249" s="1"/>
      <c r="W249" s="1"/>
      <c r="X249" s="1"/>
      <c r="Y249" s="1"/>
      <c r="Z249" s="1"/>
    </row>
    <row r="250" spans="1:26" ht="15" thickBot="1" x14ac:dyDescent="0.35">
      <c r="A250" s="18" t="s">
        <v>397</v>
      </c>
      <c r="B250" s="4">
        <v>45758</v>
      </c>
      <c r="C250" s="1" t="s">
        <v>226</v>
      </c>
      <c r="D250" s="1" t="s">
        <v>227</v>
      </c>
      <c r="E250" s="1" t="s">
        <v>117</v>
      </c>
      <c r="F250" s="1" t="s">
        <v>118</v>
      </c>
      <c r="G250" s="1" t="s">
        <v>19</v>
      </c>
      <c r="H250" s="5">
        <v>2</v>
      </c>
      <c r="I250" s="5">
        <v>89.99</v>
      </c>
      <c r="J250" s="1" t="s">
        <v>57</v>
      </c>
      <c r="K250" s="1" t="s">
        <v>63</v>
      </c>
      <c r="L250" s="1" t="s">
        <v>22</v>
      </c>
      <c r="M250" s="4">
        <v>45088</v>
      </c>
      <c r="N250" s="19">
        <v>179.98</v>
      </c>
      <c r="O250" s="1">
        <f>MONTH(Table1[[#This Row],[Customer_Since]])</f>
        <v>6</v>
      </c>
      <c r="P250" s="1">
        <f>YEAR(Table1[[#This Row],[Customer_Since]])</f>
        <v>2023</v>
      </c>
      <c r="Q250" s="1"/>
      <c r="R250" s="1"/>
      <c r="S250" s="1"/>
      <c r="T250" s="1"/>
      <c r="U250" s="1"/>
      <c r="V250" s="1"/>
      <c r="W250" s="1"/>
      <c r="X250" s="1"/>
      <c r="Y250" s="1"/>
      <c r="Z250" s="1"/>
    </row>
    <row r="251" spans="1:26" ht="15" thickBot="1" x14ac:dyDescent="0.35">
      <c r="A251" s="23" t="s">
        <v>398</v>
      </c>
      <c r="B251" s="24">
        <v>45758</v>
      </c>
      <c r="C251" s="25" t="s">
        <v>138</v>
      </c>
      <c r="D251" s="25" t="s">
        <v>139</v>
      </c>
      <c r="E251" s="25" t="s">
        <v>117</v>
      </c>
      <c r="F251" s="25" t="s">
        <v>118</v>
      </c>
      <c r="G251" s="25" t="s">
        <v>19</v>
      </c>
      <c r="H251" s="26">
        <v>3</v>
      </c>
      <c r="I251" s="26">
        <v>89.99</v>
      </c>
      <c r="J251" s="25" t="s">
        <v>57</v>
      </c>
      <c r="K251" s="25" t="s">
        <v>40</v>
      </c>
      <c r="L251" s="25" t="s">
        <v>27</v>
      </c>
      <c r="M251" s="24">
        <v>44878</v>
      </c>
      <c r="N251" s="27">
        <v>269.97000000000003</v>
      </c>
      <c r="O251" s="25">
        <f>MONTH(Table1[[#This Row],[Customer_Since]])</f>
        <v>11</v>
      </c>
      <c r="P251" s="1">
        <f>YEAR(Table1[[#This Row],[Customer_Since]])</f>
        <v>2022</v>
      </c>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9274-14EF-4A01-A092-58C8E0332EDF}">
  <dimension ref="A3:H257"/>
  <sheetViews>
    <sheetView workbookViewId="0">
      <selection activeCell="F8" sqref="F8"/>
    </sheetView>
  </sheetViews>
  <sheetFormatPr defaultRowHeight="14.4" x14ac:dyDescent="0.3"/>
  <cols>
    <col min="1" max="3" width="10.33203125" bestFit="1" customWidth="1"/>
    <col min="4" max="4" width="16.21875" customWidth="1"/>
    <col min="6" max="6" width="15.44140625" bestFit="1" customWidth="1"/>
  </cols>
  <sheetData>
    <row r="3" spans="1:8" x14ac:dyDescent="0.3">
      <c r="B3" t="s">
        <v>400</v>
      </c>
      <c r="C3" s="8" t="s">
        <v>399</v>
      </c>
      <c r="E3" t="s">
        <v>401</v>
      </c>
      <c r="F3" s="8" t="s">
        <v>402</v>
      </c>
    </row>
    <row r="4" spans="1:8" x14ac:dyDescent="0.3">
      <c r="C4" s="9">
        <f ca="1">TODAY()</f>
        <v>46061</v>
      </c>
      <c r="F4" s="10">
        <f ca="1">NOW()</f>
        <v>46061.914251388887</v>
      </c>
    </row>
    <row r="6" spans="1:8" ht="15" thickBot="1" x14ac:dyDescent="0.35"/>
    <row r="7" spans="1:8" ht="29.4" thickBot="1" x14ac:dyDescent="0.35">
      <c r="A7" s="6" t="s">
        <v>1</v>
      </c>
      <c r="B7" s="6" t="s">
        <v>12</v>
      </c>
      <c r="C7" s="8" t="s">
        <v>403</v>
      </c>
      <c r="D7" s="8" t="s">
        <v>404</v>
      </c>
      <c r="F7" s="8" t="s">
        <v>405</v>
      </c>
      <c r="G7" s="8" t="s">
        <v>406</v>
      </c>
      <c r="H7" s="8"/>
    </row>
    <row r="8" spans="1:8" ht="15" thickBot="1" x14ac:dyDescent="0.35">
      <c r="A8" s="7">
        <v>45393</v>
      </c>
      <c r="B8" s="7">
        <v>44425</v>
      </c>
      <c r="C8" s="8">
        <f>DATEDIF(B8,A8,"Y")</f>
        <v>2</v>
      </c>
      <c r="F8" s="8">
        <f>EOMONTH(B8,2)</f>
        <v>44500</v>
      </c>
    </row>
    <row r="9" spans="1:8" ht="15" thickBot="1" x14ac:dyDescent="0.35">
      <c r="A9" s="7">
        <v>45396</v>
      </c>
      <c r="B9" s="7">
        <v>44575</v>
      </c>
      <c r="C9" s="8">
        <f t="shared" ref="C9:C72" si="0">DATEDIF(B9,A9,"Y")</f>
        <v>2</v>
      </c>
    </row>
    <row r="10" spans="1:8" ht="15" thickBot="1" x14ac:dyDescent="0.35">
      <c r="A10" s="7">
        <v>45399</v>
      </c>
      <c r="B10" s="7">
        <v>45262</v>
      </c>
      <c r="C10" s="8">
        <f t="shared" si="0"/>
        <v>0</v>
      </c>
    </row>
    <row r="11" spans="1:8" ht="15" thickBot="1" x14ac:dyDescent="0.35">
      <c r="A11" s="7">
        <v>45400</v>
      </c>
      <c r="B11" s="7">
        <v>45114</v>
      </c>
      <c r="C11" s="8">
        <f t="shared" si="0"/>
        <v>0</v>
      </c>
    </row>
    <row r="12" spans="1:8" ht="15" thickBot="1" x14ac:dyDescent="0.35">
      <c r="A12" s="7">
        <v>45400</v>
      </c>
      <c r="B12" s="7">
        <v>45295</v>
      </c>
      <c r="C12" s="8">
        <f t="shared" si="0"/>
        <v>0</v>
      </c>
    </row>
    <row r="13" spans="1:8" ht="15" thickBot="1" x14ac:dyDescent="0.35">
      <c r="A13" s="7">
        <v>45403</v>
      </c>
      <c r="B13" s="7">
        <v>44746</v>
      </c>
      <c r="C13" s="8">
        <f t="shared" si="0"/>
        <v>1</v>
      </c>
    </row>
    <row r="14" spans="1:8" ht="15" thickBot="1" x14ac:dyDescent="0.35">
      <c r="A14" s="7">
        <v>45403</v>
      </c>
      <c r="B14" s="7">
        <v>44418</v>
      </c>
      <c r="C14" s="8">
        <f t="shared" si="0"/>
        <v>2</v>
      </c>
    </row>
    <row r="15" spans="1:8" ht="15" thickBot="1" x14ac:dyDescent="0.35">
      <c r="A15" s="7">
        <v>45403</v>
      </c>
      <c r="B15" s="7">
        <v>45007</v>
      </c>
      <c r="C15" s="8">
        <f t="shared" si="0"/>
        <v>1</v>
      </c>
    </row>
    <row r="16" spans="1:8" ht="15" thickBot="1" x14ac:dyDescent="0.35">
      <c r="A16" s="7">
        <v>45405</v>
      </c>
      <c r="B16" s="7">
        <v>45299</v>
      </c>
      <c r="C16" s="8">
        <f t="shared" si="0"/>
        <v>0</v>
      </c>
    </row>
    <row r="17" spans="1:3" ht="15" thickBot="1" x14ac:dyDescent="0.35">
      <c r="A17" s="7">
        <v>45408</v>
      </c>
      <c r="B17" s="7">
        <v>45207</v>
      </c>
      <c r="C17" s="8">
        <f t="shared" si="0"/>
        <v>0</v>
      </c>
    </row>
    <row r="18" spans="1:3" ht="15" thickBot="1" x14ac:dyDescent="0.35">
      <c r="A18" s="7">
        <v>45408</v>
      </c>
      <c r="B18" s="7">
        <v>45103</v>
      </c>
      <c r="C18" s="8">
        <f t="shared" si="0"/>
        <v>0</v>
      </c>
    </row>
    <row r="19" spans="1:3" ht="15" thickBot="1" x14ac:dyDescent="0.35">
      <c r="A19" s="7">
        <v>45408</v>
      </c>
      <c r="B19" s="7">
        <v>44830</v>
      </c>
      <c r="C19" s="8">
        <f t="shared" si="0"/>
        <v>1</v>
      </c>
    </row>
    <row r="20" spans="1:3" ht="15" thickBot="1" x14ac:dyDescent="0.35">
      <c r="A20" s="7">
        <v>45408</v>
      </c>
      <c r="B20" s="7">
        <v>44806</v>
      </c>
      <c r="C20" s="8">
        <f t="shared" si="0"/>
        <v>1</v>
      </c>
    </row>
    <row r="21" spans="1:3" ht="15" thickBot="1" x14ac:dyDescent="0.35">
      <c r="A21" s="7">
        <v>45409</v>
      </c>
      <c r="B21" s="7">
        <v>45351</v>
      </c>
      <c r="C21" s="8">
        <f t="shared" si="0"/>
        <v>0</v>
      </c>
    </row>
    <row r="22" spans="1:3" ht="15" thickBot="1" x14ac:dyDescent="0.35">
      <c r="A22" s="7">
        <v>45409</v>
      </c>
      <c r="B22" s="7">
        <v>44577</v>
      </c>
      <c r="C22" s="8">
        <f t="shared" si="0"/>
        <v>2</v>
      </c>
    </row>
    <row r="23" spans="1:3" ht="15" thickBot="1" x14ac:dyDescent="0.35">
      <c r="A23" s="7">
        <v>45409</v>
      </c>
      <c r="B23" s="7">
        <v>44920</v>
      </c>
      <c r="C23" s="8">
        <f t="shared" si="0"/>
        <v>1</v>
      </c>
    </row>
    <row r="24" spans="1:3" ht="15" thickBot="1" x14ac:dyDescent="0.35">
      <c r="A24" s="7">
        <v>45410</v>
      </c>
      <c r="B24" s="7">
        <v>45374</v>
      </c>
      <c r="C24" s="8">
        <f t="shared" si="0"/>
        <v>0</v>
      </c>
    </row>
    <row r="25" spans="1:3" ht="15" thickBot="1" x14ac:dyDescent="0.35">
      <c r="A25" s="7">
        <v>45410</v>
      </c>
      <c r="B25" s="7">
        <v>44781</v>
      </c>
      <c r="C25" s="8">
        <f t="shared" si="0"/>
        <v>1</v>
      </c>
    </row>
    <row r="26" spans="1:3" ht="15" thickBot="1" x14ac:dyDescent="0.35">
      <c r="A26" s="7">
        <v>45410</v>
      </c>
      <c r="B26" s="7">
        <v>45327</v>
      </c>
      <c r="C26" s="8">
        <f t="shared" si="0"/>
        <v>0</v>
      </c>
    </row>
    <row r="27" spans="1:3" ht="15" thickBot="1" x14ac:dyDescent="0.35">
      <c r="A27" s="7">
        <v>45410</v>
      </c>
      <c r="B27" s="7">
        <v>45224</v>
      </c>
      <c r="C27" s="8">
        <f t="shared" si="0"/>
        <v>0</v>
      </c>
    </row>
    <row r="28" spans="1:3" ht="15" thickBot="1" x14ac:dyDescent="0.35">
      <c r="A28" s="7">
        <v>45412</v>
      </c>
      <c r="B28" s="7">
        <v>45167</v>
      </c>
      <c r="C28" s="8">
        <f t="shared" si="0"/>
        <v>0</v>
      </c>
    </row>
    <row r="29" spans="1:3" ht="15" thickBot="1" x14ac:dyDescent="0.35">
      <c r="A29" s="7">
        <v>45413</v>
      </c>
      <c r="B29" s="7">
        <v>44409</v>
      </c>
      <c r="C29" s="8">
        <f t="shared" si="0"/>
        <v>2</v>
      </c>
    </row>
    <row r="30" spans="1:3" ht="15" thickBot="1" x14ac:dyDescent="0.35">
      <c r="A30" s="7">
        <v>45415</v>
      </c>
      <c r="B30" s="7">
        <v>44468</v>
      </c>
      <c r="C30" s="8">
        <f t="shared" si="0"/>
        <v>2</v>
      </c>
    </row>
    <row r="31" spans="1:3" ht="15" thickBot="1" x14ac:dyDescent="0.35">
      <c r="A31" s="7">
        <v>45416</v>
      </c>
      <c r="B31" s="7">
        <v>44716</v>
      </c>
      <c r="C31" s="8">
        <f t="shared" si="0"/>
        <v>1</v>
      </c>
    </row>
    <row r="32" spans="1:3" ht="15" thickBot="1" x14ac:dyDescent="0.35">
      <c r="A32" s="7">
        <v>45422</v>
      </c>
      <c r="B32" s="7">
        <v>44525</v>
      </c>
      <c r="C32" s="8">
        <f t="shared" si="0"/>
        <v>2</v>
      </c>
    </row>
    <row r="33" spans="1:3" ht="15" thickBot="1" x14ac:dyDescent="0.35">
      <c r="A33" s="7">
        <v>45424</v>
      </c>
      <c r="B33" s="7">
        <v>45168</v>
      </c>
      <c r="C33" s="8">
        <f t="shared" si="0"/>
        <v>0</v>
      </c>
    </row>
    <row r="34" spans="1:3" ht="15" thickBot="1" x14ac:dyDescent="0.35">
      <c r="A34" s="7">
        <v>45424</v>
      </c>
      <c r="B34" s="7">
        <v>45012</v>
      </c>
      <c r="C34" s="8">
        <f t="shared" si="0"/>
        <v>1</v>
      </c>
    </row>
    <row r="35" spans="1:3" ht="15" thickBot="1" x14ac:dyDescent="0.35">
      <c r="A35" s="7">
        <v>45424</v>
      </c>
      <c r="B35" s="7">
        <v>44919</v>
      </c>
      <c r="C35" s="8">
        <f t="shared" si="0"/>
        <v>1</v>
      </c>
    </row>
    <row r="36" spans="1:3" ht="15" thickBot="1" x14ac:dyDescent="0.35">
      <c r="A36" s="7">
        <v>45425</v>
      </c>
      <c r="B36" s="7">
        <v>45214</v>
      </c>
      <c r="C36" s="8">
        <f t="shared" si="0"/>
        <v>0</v>
      </c>
    </row>
    <row r="37" spans="1:3" ht="15" thickBot="1" x14ac:dyDescent="0.35">
      <c r="A37" s="7">
        <v>45427</v>
      </c>
      <c r="B37" s="7">
        <v>44867</v>
      </c>
      <c r="C37" s="8">
        <f t="shared" si="0"/>
        <v>1</v>
      </c>
    </row>
    <row r="38" spans="1:3" ht="15" thickBot="1" x14ac:dyDescent="0.35">
      <c r="A38" s="7">
        <v>45427</v>
      </c>
      <c r="B38" s="7">
        <v>44412</v>
      </c>
      <c r="C38" s="8">
        <f t="shared" si="0"/>
        <v>2</v>
      </c>
    </row>
    <row r="39" spans="1:3" ht="15" thickBot="1" x14ac:dyDescent="0.35">
      <c r="A39" s="7">
        <v>45428</v>
      </c>
      <c r="B39" s="7">
        <v>44823</v>
      </c>
      <c r="C39" s="8">
        <f t="shared" si="0"/>
        <v>1</v>
      </c>
    </row>
    <row r="40" spans="1:3" ht="15" thickBot="1" x14ac:dyDescent="0.35">
      <c r="A40" s="7">
        <v>45430</v>
      </c>
      <c r="B40" s="7">
        <v>45068</v>
      </c>
      <c r="C40" s="8">
        <f t="shared" si="0"/>
        <v>0</v>
      </c>
    </row>
    <row r="41" spans="1:3" ht="15" thickBot="1" x14ac:dyDescent="0.35">
      <c r="A41" s="7">
        <v>45432</v>
      </c>
      <c r="B41" s="7">
        <v>44578</v>
      </c>
      <c r="C41" s="8">
        <f t="shared" si="0"/>
        <v>2</v>
      </c>
    </row>
    <row r="42" spans="1:3" ht="15" thickBot="1" x14ac:dyDescent="0.35">
      <c r="A42" s="7">
        <v>45434</v>
      </c>
      <c r="B42" s="7">
        <v>44824</v>
      </c>
      <c r="C42" s="8">
        <f t="shared" si="0"/>
        <v>1</v>
      </c>
    </row>
    <row r="43" spans="1:3" ht="15" thickBot="1" x14ac:dyDescent="0.35">
      <c r="A43" s="7">
        <v>45435</v>
      </c>
      <c r="B43" s="7">
        <v>45046</v>
      </c>
      <c r="C43" s="8">
        <f t="shared" si="0"/>
        <v>1</v>
      </c>
    </row>
    <row r="44" spans="1:3" ht="15" thickBot="1" x14ac:dyDescent="0.35">
      <c r="A44" s="7">
        <v>45438</v>
      </c>
      <c r="B44" s="7">
        <v>45292</v>
      </c>
      <c r="C44" s="8">
        <f t="shared" si="0"/>
        <v>0</v>
      </c>
    </row>
    <row r="45" spans="1:3" ht="15" thickBot="1" x14ac:dyDescent="0.35">
      <c r="A45" s="7">
        <v>45440</v>
      </c>
      <c r="B45" s="7">
        <v>44407</v>
      </c>
      <c r="C45" s="8">
        <f t="shared" si="0"/>
        <v>2</v>
      </c>
    </row>
    <row r="46" spans="1:3" ht="15" thickBot="1" x14ac:dyDescent="0.35">
      <c r="A46" s="7">
        <v>45441</v>
      </c>
      <c r="B46" s="7">
        <v>45120</v>
      </c>
      <c r="C46" s="8">
        <f t="shared" si="0"/>
        <v>0</v>
      </c>
    </row>
    <row r="47" spans="1:3" ht="15" thickBot="1" x14ac:dyDescent="0.35">
      <c r="A47" s="7">
        <v>45443</v>
      </c>
      <c r="B47" s="7">
        <v>44917</v>
      </c>
      <c r="C47" s="8">
        <f t="shared" si="0"/>
        <v>1</v>
      </c>
    </row>
    <row r="48" spans="1:3" ht="15" thickBot="1" x14ac:dyDescent="0.35">
      <c r="A48" s="7">
        <v>45444</v>
      </c>
      <c r="B48" s="7">
        <v>45390</v>
      </c>
      <c r="C48" s="8">
        <f t="shared" si="0"/>
        <v>0</v>
      </c>
    </row>
    <row r="49" spans="1:3" ht="15" thickBot="1" x14ac:dyDescent="0.35">
      <c r="A49" s="7">
        <v>45444</v>
      </c>
      <c r="B49" s="7">
        <v>45141</v>
      </c>
      <c r="C49" s="8">
        <f t="shared" si="0"/>
        <v>0</v>
      </c>
    </row>
    <row r="50" spans="1:3" ht="15" thickBot="1" x14ac:dyDescent="0.35">
      <c r="A50" s="7">
        <v>45446</v>
      </c>
      <c r="B50" s="7">
        <v>44587</v>
      </c>
      <c r="C50" s="8">
        <f t="shared" si="0"/>
        <v>2</v>
      </c>
    </row>
    <row r="51" spans="1:3" ht="15" thickBot="1" x14ac:dyDescent="0.35">
      <c r="A51" s="7">
        <v>45449</v>
      </c>
      <c r="B51" s="7">
        <v>44707</v>
      </c>
      <c r="C51" s="8">
        <f t="shared" si="0"/>
        <v>2</v>
      </c>
    </row>
    <row r="52" spans="1:3" ht="15" thickBot="1" x14ac:dyDescent="0.35">
      <c r="A52" s="7">
        <v>45449</v>
      </c>
      <c r="B52" s="7">
        <v>44582</v>
      </c>
      <c r="C52" s="8">
        <f t="shared" si="0"/>
        <v>2</v>
      </c>
    </row>
    <row r="53" spans="1:3" ht="15" thickBot="1" x14ac:dyDescent="0.35">
      <c r="A53" s="7">
        <v>45450</v>
      </c>
      <c r="B53" s="7">
        <v>44645</v>
      </c>
      <c r="C53" s="8">
        <f t="shared" si="0"/>
        <v>2</v>
      </c>
    </row>
    <row r="54" spans="1:3" ht="15" thickBot="1" x14ac:dyDescent="0.35">
      <c r="A54" s="7">
        <v>45452</v>
      </c>
      <c r="B54" s="7">
        <v>44435</v>
      </c>
      <c r="C54" s="8">
        <f t="shared" si="0"/>
        <v>2</v>
      </c>
    </row>
    <row r="55" spans="1:3" ht="15" thickBot="1" x14ac:dyDescent="0.35">
      <c r="A55" s="7">
        <v>45456</v>
      </c>
      <c r="B55" s="7">
        <v>44579</v>
      </c>
      <c r="C55" s="8">
        <f t="shared" si="0"/>
        <v>2</v>
      </c>
    </row>
    <row r="56" spans="1:3" ht="15" thickBot="1" x14ac:dyDescent="0.35">
      <c r="A56" s="7">
        <v>45459</v>
      </c>
      <c r="B56" s="7">
        <v>44471</v>
      </c>
      <c r="C56" s="8">
        <f t="shared" si="0"/>
        <v>2</v>
      </c>
    </row>
    <row r="57" spans="1:3" ht="15" thickBot="1" x14ac:dyDescent="0.35">
      <c r="A57" s="7">
        <v>45459</v>
      </c>
      <c r="B57" s="7">
        <v>44974</v>
      </c>
      <c r="C57" s="8">
        <f t="shared" si="0"/>
        <v>1</v>
      </c>
    </row>
    <row r="58" spans="1:3" ht="15" thickBot="1" x14ac:dyDescent="0.35">
      <c r="A58" s="7">
        <v>45459</v>
      </c>
      <c r="B58" s="7">
        <v>45278</v>
      </c>
      <c r="C58" s="8">
        <f t="shared" si="0"/>
        <v>0</v>
      </c>
    </row>
    <row r="59" spans="1:3" ht="15" thickBot="1" x14ac:dyDescent="0.35">
      <c r="A59" s="7">
        <v>45460</v>
      </c>
      <c r="B59" s="7">
        <v>45190</v>
      </c>
      <c r="C59" s="8">
        <f t="shared" si="0"/>
        <v>0</v>
      </c>
    </row>
    <row r="60" spans="1:3" ht="15" thickBot="1" x14ac:dyDescent="0.35">
      <c r="A60" s="7">
        <v>45460</v>
      </c>
      <c r="B60" s="7">
        <v>45253</v>
      </c>
      <c r="C60" s="8">
        <f t="shared" si="0"/>
        <v>0</v>
      </c>
    </row>
    <row r="61" spans="1:3" ht="15" thickBot="1" x14ac:dyDescent="0.35">
      <c r="A61" s="7">
        <v>45468</v>
      </c>
      <c r="B61" s="7">
        <v>45281</v>
      </c>
      <c r="C61" s="8">
        <f t="shared" si="0"/>
        <v>0</v>
      </c>
    </row>
    <row r="62" spans="1:3" ht="15" thickBot="1" x14ac:dyDescent="0.35">
      <c r="A62" s="7">
        <v>45469</v>
      </c>
      <c r="B62" s="7">
        <v>45352</v>
      </c>
      <c r="C62" s="8">
        <f t="shared" si="0"/>
        <v>0</v>
      </c>
    </row>
    <row r="63" spans="1:3" ht="15" thickBot="1" x14ac:dyDescent="0.35">
      <c r="A63" s="7">
        <v>45469</v>
      </c>
      <c r="B63" s="7">
        <v>44438</v>
      </c>
      <c r="C63" s="8">
        <f t="shared" si="0"/>
        <v>2</v>
      </c>
    </row>
    <row r="64" spans="1:3" ht="15" thickBot="1" x14ac:dyDescent="0.35">
      <c r="A64" s="7">
        <v>45471</v>
      </c>
      <c r="B64" s="7">
        <v>45102</v>
      </c>
      <c r="C64" s="8">
        <f t="shared" si="0"/>
        <v>1</v>
      </c>
    </row>
    <row r="65" spans="1:3" ht="15" thickBot="1" x14ac:dyDescent="0.35">
      <c r="A65" s="7">
        <v>45471</v>
      </c>
      <c r="B65" s="7">
        <v>44993</v>
      </c>
      <c r="C65" s="8">
        <f t="shared" si="0"/>
        <v>1</v>
      </c>
    </row>
    <row r="66" spans="1:3" ht="15" thickBot="1" x14ac:dyDescent="0.35">
      <c r="A66" s="7">
        <v>45472</v>
      </c>
      <c r="B66" s="7">
        <v>44851</v>
      </c>
      <c r="C66" s="8">
        <f t="shared" si="0"/>
        <v>1</v>
      </c>
    </row>
    <row r="67" spans="1:3" ht="15" thickBot="1" x14ac:dyDescent="0.35">
      <c r="A67" s="7">
        <v>45474</v>
      </c>
      <c r="B67" s="7">
        <v>45275</v>
      </c>
      <c r="C67" s="8">
        <f t="shared" si="0"/>
        <v>0</v>
      </c>
    </row>
    <row r="68" spans="1:3" ht="15" thickBot="1" x14ac:dyDescent="0.35">
      <c r="A68" s="7">
        <v>45475</v>
      </c>
      <c r="B68" s="7">
        <v>44802</v>
      </c>
      <c r="C68" s="8">
        <f t="shared" si="0"/>
        <v>1</v>
      </c>
    </row>
    <row r="69" spans="1:3" ht="15" thickBot="1" x14ac:dyDescent="0.35">
      <c r="A69" s="7">
        <v>45476</v>
      </c>
      <c r="B69" s="7">
        <v>44611</v>
      </c>
      <c r="C69" s="8">
        <f t="shared" si="0"/>
        <v>2</v>
      </c>
    </row>
    <row r="70" spans="1:3" ht="15" thickBot="1" x14ac:dyDescent="0.35">
      <c r="A70" s="7">
        <v>45476</v>
      </c>
      <c r="B70" s="7">
        <v>44981</v>
      </c>
      <c r="C70" s="8">
        <f t="shared" si="0"/>
        <v>1</v>
      </c>
    </row>
    <row r="71" spans="1:3" ht="15" thickBot="1" x14ac:dyDescent="0.35">
      <c r="A71" s="7">
        <v>45481</v>
      </c>
      <c r="B71" s="7">
        <v>44421</v>
      </c>
      <c r="C71" s="8">
        <f t="shared" si="0"/>
        <v>2</v>
      </c>
    </row>
    <row r="72" spans="1:3" ht="15" thickBot="1" x14ac:dyDescent="0.35">
      <c r="A72" s="7">
        <v>45481</v>
      </c>
      <c r="B72" s="7">
        <v>45389</v>
      </c>
      <c r="C72" s="8">
        <f t="shared" si="0"/>
        <v>0</v>
      </c>
    </row>
    <row r="73" spans="1:3" ht="15" thickBot="1" x14ac:dyDescent="0.35">
      <c r="A73" s="7">
        <v>45481</v>
      </c>
      <c r="B73" s="7">
        <v>45161</v>
      </c>
      <c r="C73" s="8">
        <f t="shared" ref="C73:C136" si="1">DATEDIF(B73,A73,"Y")</f>
        <v>0</v>
      </c>
    </row>
    <row r="74" spans="1:3" ht="15" thickBot="1" x14ac:dyDescent="0.35">
      <c r="A74" s="7">
        <v>45482</v>
      </c>
      <c r="B74" s="7">
        <v>44509</v>
      </c>
      <c r="C74" s="8">
        <f t="shared" si="1"/>
        <v>2</v>
      </c>
    </row>
    <row r="75" spans="1:3" ht="15" thickBot="1" x14ac:dyDescent="0.35">
      <c r="A75" s="7">
        <v>45484</v>
      </c>
      <c r="B75" s="7">
        <v>44909</v>
      </c>
      <c r="C75" s="8">
        <f t="shared" si="1"/>
        <v>1</v>
      </c>
    </row>
    <row r="76" spans="1:3" ht="15" thickBot="1" x14ac:dyDescent="0.35">
      <c r="A76" s="7">
        <v>45484</v>
      </c>
      <c r="B76" s="7">
        <v>44891</v>
      </c>
      <c r="C76" s="8">
        <f t="shared" si="1"/>
        <v>1</v>
      </c>
    </row>
    <row r="77" spans="1:3" ht="15" thickBot="1" x14ac:dyDescent="0.35">
      <c r="A77" s="7">
        <v>45487</v>
      </c>
      <c r="B77" s="7">
        <v>44541</v>
      </c>
      <c r="C77" s="8">
        <f t="shared" si="1"/>
        <v>2</v>
      </c>
    </row>
    <row r="78" spans="1:3" ht="15" thickBot="1" x14ac:dyDescent="0.35">
      <c r="A78" s="7">
        <v>45490</v>
      </c>
      <c r="B78" s="7">
        <v>45130</v>
      </c>
      <c r="C78" s="8">
        <f t="shared" si="1"/>
        <v>0</v>
      </c>
    </row>
    <row r="79" spans="1:3" ht="15" thickBot="1" x14ac:dyDescent="0.35">
      <c r="A79" s="7">
        <v>45490</v>
      </c>
      <c r="B79" s="7">
        <v>45199</v>
      </c>
      <c r="C79" s="8">
        <f t="shared" si="1"/>
        <v>0</v>
      </c>
    </row>
    <row r="80" spans="1:3" ht="15" thickBot="1" x14ac:dyDescent="0.35">
      <c r="A80" s="7">
        <v>45491</v>
      </c>
      <c r="B80" s="7">
        <v>45254</v>
      </c>
      <c r="C80" s="8">
        <f t="shared" si="1"/>
        <v>0</v>
      </c>
    </row>
    <row r="81" spans="1:3" ht="15" thickBot="1" x14ac:dyDescent="0.35">
      <c r="A81" s="7">
        <v>45496</v>
      </c>
      <c r="B81" s="7">
        <v>45179</v>
      </c>
      <c r="C81" s="8">
        <f t="shared" si="1"/>
        <v>0</v>
      </c>
    </row>
    <row r="82" spans="1:3" ht="15" thickBot="1" x14ac:dyDescent="0.35">
      <c r="A82" s="7">
        <v>45497</v>
      </c>
      <c r="B82" s="7">
        <v>44899</v>
      </c>
      <c r="C82" s="8">
        <f t="shared" si="1"/>
        <v>1</v>
      </c>
    </row>
    <row r="83" spans="1:3" ht="15" thickBot="1" x14ac:dyDescent="0.35">
      <c r="A83" s="7">
        <v>45498</v>
      </c>
      <c r="B83" s="7">
        <v>45152</v>
      </c>
      <c r="C83" s="8">
        <f t="shared" si="1"/>
        <v>0</v>
      </c>
    </row>
    <row r="84" spans="1:3" ht="15" thickBot="1" x14ac:dyDescent="0.35">
      <c r="A84" s="7">
        <v>45498</v>
      </c>
      <c r="B84" s="7">
        <v>45127</v>
      </c>
      <c r="C84" s="8">
        <f t="shared" si="1"/>
        <v>1</v>
      </c>
    </row>
    <row r="85" spans="1:3" ht="15" thickBot="1" x14ac:dyDescent="0.35">
      <c r="A85" s="7">
        <v>45500</v>
      </c>
      <c r="B85" s="7">
        <v>45164</v>
      </c>
      <c r="C85" s="8">
        <f t="shared" si="1"/>
        <v>0</v>
      </c>
    </row>
    <row r="86" spans="1:3" ht="15" thickBot="1" x14ac:dyDescent="0.35">
      <c r="A86" s="7">
        <v>45500</v>
      </c>
      <c r="B86" s="7">
        <v>44982</v>
      </c>
      <c r="C86" s="8">
        <f t="shared" si="1"/>
        <v>1</v>
      </c>
    </row>
    <row r="87" spans="1:3" ht="15" thickBot="1" x14ac:dyDescent="0.35">
      <c r="A87" s="7">
        <v>45501</v>
      </c>
      <c r="B87" s="7">
        <v>44976</v>
      </c>
      <c r="C87" s="8">
        <f t="shared" si="1"/>
        <v>1</v>
      </c>
    </row>
    <row r="88" spans="1:3" ht="15" thickBot="1" x14ac:dyDescent="0.35">
      <c r="A88" s="7">
        <v>45501</v>
      </c>
      <c r="B88" s="7">
        <v>44732</v>
      </c>
      <c r="C88" s="8">
        <f t="shared" si="1"/>
        <v>2</v>
      </c>
    </row>
    <row r="89" spans="1:3" ht="15" thickBot="1" x14ac:dyDescent="0.35">
      <c r="A89" s="7">
        <v>45503</v>
      </c>
      <c r="B89" s="7">
        <v>44999</v>
      </c>
      <c r="C89" s="8">
        <f t="shared" si="1"/>
        <v>1</v>
      </c>
    </row>
    <row r="90" spans="1:3" ht="15" thickBot="1" x14ac:dyDescent="0.35">
      <c r="A90" s="7">
        <v>45504</v>
      </c>
      <c r="B90" s="7">
        <v>44523</v>
      </c>
      <c r="C90" s="8">
        <f t="shared" si="1"/>
        <v>2</v>
      </c>
    </row>
    <row r="91" spans="1:3" ht="15" thickBot="1" x14ac:dyDescent="0.35">
      <c r="A91" s="7">
        <v>45509</v>
      </c>
      <c r="B91" s="7">
        <v>44542</v>
      </c>
      <c r="C91" s="8">
        <f t="shared" si="1"/>
        <v>2</v>
      </c>
    </row>
    <row r="92" spans="1:3" ht="15" thickBot="1" x14ac:dyDescent="0.35">
      <c r="A92" s="7">
        <v>45510</v>
      </c>
      <c r="B92" s="7">
        <v>44667</v>
      </c>
      <c r="C92" s="8">
        <f t="shared" si="1"/>
        <v>2</v>
      </c>
    </row>
    <row r="93" spans="1:3" ht="15" thickBot="1" x14ac:dyDescent="0.35">
      <c r="A93" s="7">
        <v>45513</v>
      </c>
      <c r="B93" s="7">
        <v>45393</v>
      </c>
      <c r="C93" s="8">
        <f t="shared" si="1"/>
        <v>0</v>
      </c>
    </row>
    <row r="94" spans="1:3" ht="15" thickBot="1" x14ac:dyDescent="0.35">
      <c r="A94" s="7">
        <v>45515</v>
      </c>
      <c r="B94" s="7">
        <v>44965</v>
      </c>
      <c r="C94" s="8">
        <f t="shared" si="1"/>
        <v>1</v>
      </c>
    </row>
    <row r="95" spans="1:3" ht="15" thickBot="1" x14ac:dyDescent="0.35">
      <c r="A95" s="7">
        <v>45517</v>
      </c>
      <c r="B95" s="7">
        <v>44820</v>
      </c>
      <c r="C95" s="8">
        <f t="shared" si="1"/>
        <v>1</v>
      </c>
    </row>
    <row r="96" spans="1:3" ht="15" thickBot="1" x14ac:dyDescent="0.35">
      <c r="A96" s="7">
        <v>45517</v>
      </c>
      <c r="B96" s="7">
        <v>44782</v>
      </c>
      <c r="C96" s="8">
        <f t="shared" si="1"/>
        <v>2</v>
      </c>
    </row>
    <row r="97" spans="1:3" ht="15" thickBot="1" x14ac:dyDescent="0.35">
      <c r="A97" s="7">
        <v>45517</v>
      </c>
      <c r="B97" s="7">
        <v>44465</v>
      </c>
      <c r="C97" s="8">
        <f t="shared" si="1"/>
        <v>2</v>
      </c>
    </row>
    <row r="98" spans="1:3" ht="15" thickBot="1" x14ac:dyDescent="0.35">
      <c r="A98" s="7">
        <v>45517</v>
      </c>
      <c r="B98" s="7">
        <v>44458</v>
      </c>
      <c r="C98" s="8">
        <f t="shared" si="1"/>
        <v>2</v>
      </c>
    </row>
    <row r="99" spans="1:3" ht="15" thickBot="1" x14ac:dyDescent="0.35">
      <c r="A99" s="7">
        <v>45519</v>
      </c>
      <c r="B99" s="7">
        <v>44991</v>
      </c>
      <c r="C99" s="8">
        <f t="shared" si="1"/>
        <v>1</v>
      </c>
    </row>
    <row r="100" spans="1:3" ht="15" thickBot="1" x14ac:dyDescent="0.35">
      <c r="A100" s="7">
        <v>45522</v>
      </c>
      <c r="B100" s="7">
        <v>44972</v>
      </c>
      <c r="C100" s="8">
        <f t="shared" si="1"/>
        <v>1</v>
      </c>
    </row>
    <row r="101" spans="1:3" ht="15" thickBot="1" x14ac:dyDescent="0.35">
      <c r="A101" s="7">
        <v>45523</v>
      </c>
      <c r="B101" s="7">
        <v>44526</v>
      </c>
      <c r="C101" s="8">
        <f t="shared" si="1"/>
        <v>2</v>
      </c>
    </row>
    <row r="102" spans="1:3" ht="15" thickBot="1" x14ac:dyDescent="0.35">
      <c r="A102" s="7">
        <v>45523</v>
      </c>
      <c r="B102" s="7">
        <v>44574</v>
      </c>
      <c r="C102" s="8">
        <f t="shared" si="1"/>
        <v>2</v>
      </c>
    </row>
    <row r="103" spans="1:3" ht="15" thickBot="1" x14ac:dyDescent="0.35">
      <c r="A103" s="7">
        <v>45526</v>
      </c>
      <c r="B103" s="7">
        <v>45310</v>
      </c>
      <c r="C103" s="8">
        <f t="shared" si="1"/>
        <v>0</v>
      </c>
    </row>
    <row r="104" spans="1:3" ht="15" thickBot="1" x14ac:dyDescent="0.35">
      <c r="A104" s="7">
        <v>45528</v>
      </c>
      <c r="B104" s="7">
        <v>44779</v>
      </c>
      <c r="C104" s="8">
        <f t="shared" si="1"/>
        <v>2</v>
      </c>
    </row>
    <row r="105" spans="1:3" ht="15" thickBot="1" x14ac:dyDescent="0.35">
      <c r="A105" s="7">
        <v>45528</v>
      </c>
      <c r="B105" s="7">
        <v>44572</v>
      </c>
      <c r="C105" s="8">
        <f t="shared" si="1"/>
        <v>2</v>
      </c>
    </row>
    <row r="106" spans="1:3" ht="15" thickBot="1" x14ac:dyDescent="0.35">
      <c r="A106" s="7">
        <v>45532</v>
      </c>
      <c r="B106" s="7">
        <v>44497</v>
      </c>
      <c r="C106" s="8">
        <f t="shared" si="1"/>
        <v>2</v>
      </c>
    </row>
    <row r="107" spans="1:3" ht="15" thickBot="1" x14ac:dyDescent="0.35">
      <c r="A107" s="7">
        <v>45532</v>
      </c>
      <c r="B107" s="7">
        <v>45212</v>
      </c>
      <c r="C107" s="8">
        <f t="shared" si="1"/>
        <v>0</v>
      </c>
    </row>
    <row r="108" spans="1:3" ht="15" thickBot="1" x14ac:dyDescent="0.35">
      <c r="A108" s="7">
        <v>45534</v>
      </c>
      <c r="B108" s="7">
        <v>44421</v>
      </c>
      <c r="C108" s="8">
        <f t="shared" si="1"/>
        <v>3</v>
      </c>
    </row>
    <row r="109" spans="1:3" ht="15" thickBot="1" x14ac:dyDescent="0.35">
      <c r="A109" s="7">
        <v>45537</v>
      </c>
      <c r="B109" s="7">
        <v>44685</v>
      </c>
      <c r="C109" s="8">
        <f t="shared" si="1"/>
        <v>2</v>
      </c>
    </row>
    <row r="110" spans="1:3" ht="15" thickBot="1" x14ac:dyDescent="0.35">
      <c r="A110" s="7">
        <v>45537</v>
      </c>
      <c r="B110" s="7">
        <v>45332</v>
      </c>
      <c r="C110" s="8">
        <f t="shared" si="1"/>
        <v>0</v>
      </c>
    </row>
    <row r="111" spans="1:3" ht="15" thickBot="1" x14ac:dyDescent="0.35">
      <c r="A111" s="7">
        <v>45538</v>
      </c>
      <c r="B111" s="7">
        <v>44870</v>
      </c>
      <c r="C111" s="8">
        <f t="shared" si="1"/>
        <v>1</v>
      </c>
    </row>
    <row r="112" spans="1:3" ht="15" thickBot="1" x14ac:dyDescent="0.35">
      <c r="A112" s="7">
        <v>45541</v>
      </c>
      <c r="B112" s="7">
        <v>44717</v>
      </c>
      <c r="C112" s="8">
        <f t="shared" si="1"/>
        <v>2</v>
      </c>
    </row>
    <row r="113" spans="1:3" ht="15" thickBot="1" x14ac:dyDescent="0.35">
      <c r="A113" s="7">
        <v>45544</v>
      </c>
      <c r="B113" s="7">
        <v>44748</v>
      </c>
      <c r="C113" s="8">
        <f t="shared" si="1"/>
        <v>2</v>
      </c>
    </row>
    <row r="114" spans="1:3" ht="15" thickBot="1" x14ac:dyDescent="0.35">
      <c r="A114" s="7">
        <v>45544</v>
      </c>
      <c r="B114" s="7">
        <v>44530</v>
      </c>
      <c r="C114" s="8">
        <f t="shared" si="1"/>
        <v>2</v>
      </c>
    </row>
    <row r="115" spans="1:3" ht="15" thickBot="1" x14ac:dyDescent="0.35">
      <c r="A115" s="7">
        <v>45545</v>
      </c>
      <c r="B115" s="7">
        <v>44693</v>
      </c>
      <c r="C115" s="8">
        <f t="shared" si="1"/>
        <v>2</v>
      </c>
    </row>
    <row r="116" spans="1:3" ht="15" thickBot="1" x14ac:dyDescent="0.35">
      <c r="A116" s="7">
        <v>45547</v>
      </c>
      <c r="B116" s="7">
        <v>44494</v>
      </c>
      <c r="C116" s="8">
        <f t="shared" si="1"/>
        <v>2</v>
      </c>
    </row>
    <row r="117" spans="1:3" ht="15" thickBot="1" x14ac:dyDescent="0.35">
      <c r="A117" s="7">
        <v>45548</v>
      </c>
      <c r="B117" s="7">
        <v>44641</v>
      </c>
      <c r="C117" s="8">
        <f t="shared" si="1"/>
        <v>2</v>
      </c>
    </row>
    <row r="118" spans="1:3" ht="15" thickBot="1" x14ac:dyDescent="0.35">
      <c r="A118" s="7">
        <v>45550</v>
      </c>
      <c r="B118" s="7">
        <v>44909</v>
      </c>
      <c r="C118" s="8">
        <f t="shared" si="1"/>
        <v>1</v>
      </c>
    </row>
    <row r="119" spans="1:3" ht="15" thickBot="1" x14ac:dyDescent="0.35">
      <c r="A119" s="7">
        <v>45551</v>
      </c>
      <c r="B119" s="7">
        <v>44993</v>
      </c>
      <c r="C119" s="8">
        <f t="shared" si="1"/>
        <v>1</v>
      </c>
    </row>
    <row r="120" spans="1:3" ht="15" thickBot="1" x14ac:dyDescent="0.35">
      <c r="A120" s="7">
        <v>45551</v>
      </c>
      <c r="B120" s="7">
        <v>44458</v>
      </c>
      <c r="C120" s="8">
        <f t="shared" si="1"/>
        <v>2</v>
      </c>
    </row>
    <row r="121" spans="1:3" ht="15" thickBot="1" x14ac:dyDescent="0.35">
      <c r="A121" s="7">
        <v>45554</v>
      </c>
      <c r="B121" s="7">
        <v>44446</v>
      </c>
      <c r="C121" s="8">
        <f t="shared" si="1"/>
        <v>3</v>
      </c>
    </row>
    <row r="122" spans="1:3" ht="15" thickBot="1" x14ac:dyDescent="0.35">
      <c r="A122" s="7">
        <v>45554</v>
      </c>
      <c r="B122" s="7">
        <v>44482</v>
      </c>
      <c r="C122" s="8">
        <f t="shared" si="1"/>
        <v>2</v>
      </c>
    </row>
    <row r="123" spans="1:3" ht="15" thickBot="1" x14ac:dyDescent="0.35">
      <c r="A123" s="7">
        <v>45554</v>
      </c>
      <c r="B123" s="7">
        <v>44618</v>
      </c>
      <c r="C123" s="8">
        <f t="shared" si="1"/>
        <v>2</v>
      </c>
    </row>
    <row r="124" spans="1:3" ht="15" thickBot="1" x14ac:dyDescent="0.35">
      <c r="A124" s="7">
        <v>45559</v>
      </c>
      <c r="B124" s="7">
        <v>45157</v>
      </c>
      <c r="C124" s="8">
        <f t="shared" si="1"/>
        <v>1</v>
      </c>
    </row>
    <row r="125" spans="1:3" ht="15" thickBot="1" x14ac:dyDescent="0.35">
      <c r="A125" s="7">
        <v>45560</v>
      </c>
      <c r="B125" s="7">
        <v>44886</v>
      </c>
      <c r="C125" s="8">
        <f t="shared" si="1"/>
        <v>1</v>
      </c>
    </row>
    <row r="126" spans="1:3" ht="15" thickBot="1" x14ac:dyDescent="0.35">
      <c r="A126" s="7">
        <v>45563</v>
      </c>
      <c r="B126" s="7">
        <v>44569</v>
      </c>
      <c r="C126" s="8">
        <f t="shared" si="1"/>
        <v>2</v>
      </c>
    </row>
    <row r="127" spans="1:3" ht="15" thickBot="1" x14ac:dyDescent="0.35">
      <c r="A127" s="7">
        <v>45564</v>
      </c>
      <c r="B127" s="7">
        <v>44953</v>
      </c>
      <c r="C127" s="8">
        <f t="shared" si="1"/>
        <v>1</v>
      </c>
    </row>
    <row r="128" spans="1:3" ht="15" thickBot="1" x14ac:dyDescent="0.35">
      <c r="A128" s="7">
        <v>45566</v>
      </c>
      <c r="B128" s="7">
        <v>44460</v>
      </c>
      <c r="C128" s="8">
        <f t="shared" si="1"/>
        <v>3</v>
      </c>
    </row>
    <row r="129" spans="1:3" ht="15" thickBot="1" x14ac:dyDescent="0.35">
      <c r="A129" s="7">
        <v>45572</v>
      </c>
      <c r="B129" s="7">
        <v>44579</v>
      </c>
      <c r="C129" s="8">
        <f t="shared" si="1"/>
        <v>2</v>
      </c>
    </row>
    <row r="130" spans="1:3" ht="15" thickBot="1" x14ac:dyDescent="0.35">
      <c r="A130" s="7">
        <v>45572</v>
      </c>
      <c r="B130" s="7">
        <v>45076</v>
      </c>
      <c r="C130" s="8">
        <f t="shared" si="1"/>
        <v>1</v>
      </c>
    </row>
    <row r="131" spans="1:3" ht="15" thickBot="1" x14ac:dyDescent="0.35">
      <c r="A131" s="7">
        <v>45573</v>
      </c>
      <c r="B131" s="7">
        <v>45274</v>
      </c>
      <c r="C131" s="8">
        <f t="shared" si="1"/>
        <v>0</v>
      </c>
    </row>
    <row r="132" spans="1:3" ht="15" thickBot="1" x14ac:dyDescent="0.35">
      <c r="A132" s="7">
        <v>45573</v>
      </c>
      <c r="B132" s="7">
        <v>44940</v>
      </c>
      <c r="C132" s="8">
        <f t="shared" si="1"/>
        <v>1</v>
      </c>
    </row>
    <row r="133" spans="1:3" ht="15" thickBot="1" x14ac:dyDescent="0.35">
      <c r="A133" s="7">
        <v>45576</v>
      </c>
      <c r="B133" s="7">
        <v>45174</v>
      </c>
      <c r="C133" s="8">
        <f t="shared" si="1"/>
        <v>1</v>
      </c>
    </row>
    <row r="134" spans="1:3" ht="15" thickBot="1" x14ac:dyDescent="0.35">
      <c r="A134" s="7">
        <v>45579</v>
      </c>
      <c r="B134" s="7">
        <v>45215</v>
      </c>
      <c r="C134" s="8">
        <f t="shared" si="1"/>
        <v>0</v>
      </c>
    </row>
    <row r="135" spans="1:3" ht="15" thickBot="1" x14ac:dyDescent="0.35">
      <c r="A135" s="7">
        <v>45581</v>
      </c>
      <c r="B135" s="7">
        <v>45008</v>
      </c>
      <c r="C135" s="8">
        <f t="shared" si="1"/>
        <v>1</v>
      </c>
    </row>
    <row r="136" spans="1:3" ht="15" thickBot="1" x14ac:dyDescent="0.35">
      <c r="A136" s="7">
        <v>45581</v>
      </c>
      <c r="B136" s="7">
        <v>45385</v>
      </c>
      <c r="C136" s="8">
        <f t="shared" si="1"/>
        <v>0</v>
      </c>
    </row>
    <row r="137" spans="1:3" ht="15" thickBot="1" x14ac:dyDescent="0.35">
      <c r="A137" s="7">
        <v>45581</v>
      </c>
      <c r="B137" s="7">
        <v>45369</v>
      </c>
      <c r="C137" s="8">
        <f t="shared" ref="C137:C200" si="2">DATEDIF(B137,A137,"Y")</f>
        <v>0</v>
      </c>
    </row>
    <row r="138" spans="1:3" ht="15" thickBot="1" x14ac:dyDescent="0.35">
      <c r="A138" s="7">
        <v>45583</v>
      </c>
      <c r="B138" s="7">
        <v>44916</v>
      </c>
      <c r="C138" s="8">
        <f t="shared" si="2"/>
        <v>1</v>
      </c>
    </row>
    <row r="139" spans="1:3" ht="15" thickBot="1" x14ac:dyDescent="0.35">
      <c r="A139" s="7">
        <v>45586</v>
      </c>
      <c r="B139" s="7">
        <v>44551</v>
      </c>
      <c r="C139" s="8">
        <f t="shared" si="2"/>
        <v>2</v>
      </c>
    </row>
    <row r="140" spans="1:3" ht="15" thickBot="1" x14ac:dyDescent="0.35">
      <c r="A140" s="7">
        <v>45588</v>
      </c>
      <c r="B140" s="7">
        <v>44473</v>
      </c>
      <c r="C140" s="8">
        <f t="shared" si="2"/>
        <v>3</v>
      </c>
    </row>
    <row r="141" spans="1:3" ht="15" thickBot="1" x14ac:dyDescent="0.35">
      <c r="A141" s="7">
        <v>45588</v>
      </c>
      <c r="B141" s="7">
        <v>44992</v>
      </c>
      <c r="C141" s="8">
        <f t="shared" si="2"/>
        <v>1</v>
      </c>
    </row>
    <row r="142" spans="1:3" ht="15" thickBot="1" x14ac:dyDescent="0.35">
      <c r="A142" s="7">
        <v>45589</v>
      </c>
      <c r="B142" s="7">
        <v>44635</v>
      </c>
      <c r="C142" s="8">
        <f t="shared" si="2"/>
        <v>2</v>
      </c>
    </row>
    <row r="143" spans="1:3" ht="15" thickBot="1" x14ac:dyDescent="0.35">
      <c r="A143" s="7">
        <v>45592</v>
      </c>
      <c r="B143" s="7">
        <v>44615</v>
      </c>
      <c r="C143" s="8">
        <f t="shared" si="2"/>
        <v>2</v>
      </c>
    </row>
    <row r="144" spans="1:3" ht="15" thickBot="1" x14ac:dyDescent="0.35">
      <c r="A144" s="7">
        <v>45597</v>
      </c>
      <c r="B144" s="7">
        <v>44881</v>
      </c>
      <c r="C144" s="8">
        <f t="shared" si="2"/>
        <v>1</v>
      </c>
    </row>
    <row r="145" spans="1:3" ht="15" thickBot="1" x14ac:dyDescent="0.35">
      <c r="A145" s="7">
        <v>45600</v>
      </c>
      <c r="B145" s="7">
        <v>44502</v>
      </c>
      <c r="C145" s="8">
        <f t="shared" si="2"/>
        <v>3</v>
      </c>
    </row>
    <row r="146" spans="1:3" ht="15" thickBot="1" x14ac:dyDescent="0.35">
      <c r="A146" s="7">
        <v>45603</v>
      </c>
      <c r="B146" s="7">
        <v>44420</v>
      </c>
      <c r="C146" s="8">
        <f t="shared" si="2"/>
        <v>3</v>
      </c>
    </row>
    <row r="147" spans="1:3" ht="15" thickBot="1" x14ac:dyDescent="0.35">
      <c r="A147" s="7">
        <v>45604</v>
      </c>
      <c r="B147" s="7">
        <v>44848</v>
      </c>
      <c r="C147" s="8">
        <f t="shared" si="2"/>
        <v>2</v>
      </c>
    </row>
    <row r="148" spans="1:3" ht="15" thickBot="1" x14ac:dyDescent="0.35">
      <c r="A148" s="7">
        <v>45605</v>
      </c>
      <c r="B148" s="7">
        <v>44828</v>
      </c>
      <c r="C148" s="8">
        <f t="shared" si="2"/>
        <v>2</v>
      </c>
    </row>
    <row r="149" spans="1:3" ht="15" thickBot="1" x14ac:dyDescent="0.35">
      <c r="A149" s="7">
        <v>45607</v>
      </c>
      <c r="B149" s="7">
        <v>44769</v>
      </c>
      <c r="C149" s="8">
        <f t="shared" si="2"/>
        <v>2</v>
      </c>
    </row>
    <row r="150" spans="1:3" ht="15" thickBot="1" x14ac:dyDescent="0.35">
      <c r="A150" s="7">
        <v>45607</v>
      </c>
      <c r="B150" s="7">
        <v>44694</v>
      </c>
      <c r="C150" s="8">
        <f t="shared" si="2"/>
        <v>2</v>
      </c>
    </row>
    <row r="151" spans="1:3" ht="15" thickBot="1" x14ac:dyDescent="0.35">
      <c r="A151" s="7">
        <v>45607</v>
      </c>
      <c r="B151" s="7">
        <v>44659</v>
      </c>
      <c r="C151" s="8">
        <f t="shared" si="2"/>
        <v>2</v>
      </c>
    </row>
    <row r="152" spans="1:3" ht="15" thickBot="1" x14ac:dyDescent="0.35">
      <c r="A152" s="7">
        <v>45608</v>
      </c>
      <c r="B152" s="7">
        <v>44901</v>
      </c>
      <c r="C152" s="8">
        <f t="shared" si="2"/>
        <v>1</v>
      </c>
    </row>
    <row r="153" spans="1:3" ht="15" thickBot="1" x14ac:dyDescent="0.35">
      <c r="A153" s="7">
        <v>45608</v>
      </c>
      <c r="B153" s="7">
        <v>45260</v>
      </c>
      <c r="C153" s="8">
        <f t="shared" si="2"/>
        <v>0</v>
      </c>
    </row>
    <row r="154" spans="1:3" ht="15" thickBot="1" x14ac:dyDescent="0.35">
      <c r="A154" s="7">
        <v>45613</v>
      </c>
      <c r="B154" s="7">
        <v>44869</v>
      </c>
      <c r="C154" s="8">
        <f t="shared" si="2"/>
        <v>2</v>
      </c>
    </row>
    <row r="155" spans="1:3" ht="15" thickBot="1" x14ac:dyDescent="0.35">
      <c r="A155" s="7">
        <v>45613</v>
      </c>
      <c r="B155" s="7">
        <v>44770</v>
      </c>
      <c r="C155" s="8">
        <f t="shared" si="2"/>
        <v>2</v>
      </c>
    </row>
    <row r="156" spans="1:3" ht="15" thickBot="1" x14ac:dyDescent="0.35">
      <c r="A156" s="7">
        <v>45617</v>
      </c>
      <c r="B156" s="7">
        <v>44427</v>
      </c>
      <c r="C156" s="8">
        <f t="shared" si="2"/>
        <v>3</v>
      </c>
    </row>
    <row r="157" spans="1:3" ht="15" thickBot="1" x14ac:dyDescent="0.35">
      <c r="A157" s="7">
        <v>45619</v>
      </c>
      <c r="B157" s="7">
        <v>44560</v>
      </c>
      <c r="C157" s="8">
        <f t="shared" si="2"/>
        <v>2</v>
      </c>
    </row>
    <row r="158" spans="1:3" ht="15" thickBot="1" x14ac:dyDescent="0.35">
      <c r="A158" s="7">
        <v>45619</v>
      </c>
      <c r="B158" s="7">
        <v>44583</v>
      </c>
      <c r="C158" s="8">
        <f t="shared" si="2"/>
        <v>2</v>
      </c>
    </row>
    <row r="159" spans="1:3" ht="15" thickBot="1" x14ac:dyDescent="0.35">
      <c r="A159" s="7">
        <v>45622</v>
      </c>
      <c r="B159" s="7">
        <v>44873</v>
      </c>
      <c r="C159" s="8">
        <f t="shared" si="2"/>
        <v>2</v>
      </c>
    </row>
    <row r="160" spans="1:3" ht="15" thickBot="1" x14ac:dyDescent="0.35">
      <c r="A160" s="7">
        <v>45623</v>
      </c>
      <c r="B160" s="7">
        <v>45101</v>
      </c>
      <c r="C160" s="8">
        <f t="shared" si="2"/>
        <v>1</v>
      </c>
    </row>
    <row r="161" spans="1:3" ht="15" thickBot="1" x14ac:dyDescent="0.35">
      <c r="A161" s="7">
        <v>45627</v>
      </c>
      <c r="B161" s="7">
        <v>44659</v>
      </c>
      <c r="C161" s="8">
        <f t="shared" si="2"/>
        <v>2</v>
      </c>
    </row>
    <row r="162" spans="1:3" ht="15" thickBot="1" x14ac:dyDescent="0.35">
      <c r="A162" s="7">
        <v>45627</v>
      </c>
      <c r="B162" s="7">
        <v>44485</v>
      </c>
      <c r="C162" s="8">
        <f t="shared" si="2"/>
        <v>3</v>
      </c>
    </row>
    <row r="163" spans="1:3" ht="15" thickBot="1" x14ac:dyDescent="0.35">
      <c r="A163" s="7">
        <v>45627</v>
      </c>
      <c r="B163" s="7">
        <v>44475</v>
      </c>
      <c r="C163" s="8">
        <f t="shared" si="2"/>
        <v>3</v>
      </c>
    </row>
    <row r="164" spans="1:3" ht="15" thickBot="1" x14ac:dyDescent="0.35">
      <c r="A164" s="7">
        <v>45627</v>
      </c>
      <c r="B164" s="7">
        <v>44944</v>
      </c>
      <c r="C164" s="8">
        <f t="shared" si="2"/>
        <v>1</v>
      </c>
    </row>
    <row r="165" spans="1:3" ht="15" thickBot="1" x14ac:dyDescent="0.35">
      <c r="A165" s="7">
        <v>45629</v>
      </c>
      <c r="B165" s="7">
        <v>45098</v>
      </c>
      <c r="C165" s="8">
        <f t="shared" si="2"/>
        <v>1</v>
      </c>
    </row>
    <row r="166" spans="1:3" ht="15" thickBot="1" x14ac:dyDescent="0.35">
      <c r="A166" s="7">
        <v>45630</v>
      </c>
      <c r="B166" s="7">
        <v>44703</v>
      </c>
      <c r="C166" s="8">
        <f t="shared" si="2"/>
        <v>2</v>
      </c>
    </row>
    <row r="167" spans="1:3" ht="15" thickBot="1" x14ac:dyDescent="0.35">
      <c r="A167" s="7">
        <v>45635</v>
      </c>
      <c r="B167" s="7">
        <v>44396</v>
      </c>
      <c r="C167" s="8">
        <f t="shared" si="2"/>
        <v>3</v>
      </c>
    </row>
    <row r="168" spans="1:3" ht="15" thickBot="1" x14ac:dyDescent="0.35">
      <c r="A168" s="7">
        <v>45635</v>
      </c>
      <c r="B168" s="7">
        <v>45052</v>
      </c>
      <c r="C168" s="8">
        <f t="shared" si="2"/>
        <v>1</v>
      </c>
    </row>
    <row r="169" spans="1:3" ht="15" thickBot="1" x14ac:dyDescent="0.35">
      <c r="A169" s="7">
        <v>45635</v>
      </c>
      <c r="B169" s="7">
        <v>44921</v>
      </c>
      <c r="C169" s="8">
        <f t="shared" si="2"/>
        <v>1</v>
      </c>
    </row>
    <row r="170" spans="1:3" ht="15" thickBot="1" x14ac:dyDescent="0.35">
      <c r="A170" s="7">
        <v>45636</v>
      </c>
      <c r="B170" s="7">
        <v>44779</v>
      </c>
      <c r="C170" s="8">
        <f t="shared" si="2"/>
        <v>2</v>
      </c>
    </row>
    <row r="171" spans="1:3" ht="15" thickBot="1" x14ac:dyDescent="0.35">
      <c r="A171" s="7">
        <v>45638</v>
      </c>
      <c r="B171" s="7">
        <v>44406</v>
      </c>
      <c r="C171" s="8">
        <f t="shared" si="2"/>
        <v>3</v>
      </c>
    </row>
    <row r="172" spans="1:3" ht="15" thickBot="1" x14ac:dyDescent="0.35">
      <c r="A172" s="7">
        <v>45641</v>
      </c>
      <c r="B172" s="7">
        <v>45200</v>
      </c>
      <c r="C172" s="8">
        <f t="shared" si="2"/>
        <v>1</v>
      </c>
    </row>
    <row r="173" spans="1:3" ht="15" thickBot="1" x14ac:dyDescent="0.35">
      <c r="A173" s="7">
        <v>45641</v>
      </c>
      <c r="B173" s="7">
        <v>44724</v>
      </c>
      <c r="C173" s="8">
        <f t="shared" si="2"/>
        <v>2</v>
      </c>
    </row>
    <row r="174" spans="1:3" ht="15" thickBot="1" x14ac:dyDescent="0.35">
      <c r="A174" s="7">
        <v>45644</v>
      </c>
      <c r="B174" s="7">
        <v>45191</v>
      </c>
      <c r="C174" s="8">
        <f t="shared" si="2"/>
        <v>1</v>
      </c>
    </row>
    <row r="175" spans="1:3" ht="15" thickBot="1" x14ac:dyDescent="0.35">
      <c r="A175" s="7">
        <v>45645</v>
      </c>
      <c r="B175" s="7">
        <v>44760</v>
      </c>
      <c r="C175" s="8">
        <f t="shared" si="2"/>
        <v>2</v>
      </c>
    </row>
    <row r="176" spans="1:3" ht="15" thickBot="1" x14ac:dyDescent="0.35">
      <c r="A176" s="7">
        <v>45645</v>
      </c>
      <c r="B176" s="7">
        <v>44625</v>
      </c>
      <c r="C176" s="8">
        <f t="shared" si="2"/>
        <v>2</v>
      </c>
    </row>
    <row r="177" spans="1:3" ht="15" thickBot="1" x14ac:dyDescent="0.35">
      <c r="A177" s="7">
        <v>45646</v>
      </c>
      <c r="B177" s="7">
        <v>45239</v>
      </c>
      <c r="C177" s="8">
        <f t="shared" si="2"/>
        <v>1</v>
      </c>
    </row>
    <row r="178" spans="1:3" ht="15" thickBot="1" x14ac:dyDescent="0.35">
      <c r="A178" s="7">
        <v>45648</v>
      </c>
      <c r="B178" s="7">
        <v>45280</v>
      </c>
      <c r="C178" s="8">
        <f t="shared" si="2"/>
        <v>1</v>
      </c>
    </row>
    <row r="179" spans="1:3" ht="15" thickBot="1" x14ac:dyDescent="0.35">
      <c r="A179" s="7">
        <v>45648</v>
      </c>
      <c r="B179" s="7">
        <v>44522</v>
      </c>
      <c r="C179" s="8">
        <f t="shared" si="2"/>
        <v>3</v>
      </c>
    </row>
    <row r="180" spans="1:3" ht="15" thickBot="1" x14ac:dyDescent="0.35">
      <c r="A180" s="7">
        <v>45649</v>
      </c>
      <c r="B180" s="7">
        <v>44721</v>
      </c>
      <c r="C180" s="8">
        <f t="shared" si="2"/>
        <v>2</v>
      </c>
    </row>
    <row r="181" spans="1:3" ht="15" thickBot="1" x14ac:dyDescent="0.35">
      <c r="A181" s="7">
        <v>45654</v>
      </c>
      <c r="B181" s="7">
        <v>44771</v>
      </c>
      <c r="C181" s="8">
        <f t="shared" si="2"/>
        <v>2</v>
      </c>
    </row>
    <row r="182" spans="1:3" ht="15" thickBot="1" x14ac:dyDescent="0.35">
      <c r="A182" s="7">
        <v>45654</v>
      </c>
      <c r="B182" s="7">
        <v>44523</v>
      </c>
      <c r="C182" s="8">
        <f t="shared" si="2"/>
        <v>3</v>
      </c>
    </row>
    <row r="183" spans="1:3" ht="15" thickBot="1" x14ac:dyDescent="0.35">
      <c r="A183" s="7">
        <v>45655</v>
      </c>
      <c r="B183" s="7">
        <v>44591</v>
      </c>
      <c r="C183" s="8">
        <f t="shared" si="2"/>
        <v>2</v>
      </c>
    </row>
    <row r="184" spans="1:3" ht="15" thickBot="1" x14ac:dyDescent="0.35">
      <c r="A184" s="7">
        <v>45655</v>
      </c>
      <c r="B184" s="7">
        <v>45347</v>
      </c>
      <c r="C184" s="8">
        <f t="shared" si="2"/>
        <v>0</v>
      </c>
    </row>
    <row r="185" spans="1:3" ht="15" thickBot="1" x14ac:dyDescent="0.35">
      <c r="A185" s="7">
        <v>45657</v>
      </c>
      <c r="B185" s="7">
        <v>45050</v>
      </c>
      <c r="C185" s="8">
        <f t="shared" si="2"/>
        <v>1</v>
      </c>
    </row>
    <row r="186" spans="1:3" ht="15" thickBot="1" x14ac:dyDescent="0.35">
      <c r="A186" s="7">
        <v>45660</v>
      </c>
      <c r="B186" s="7">
        <v>44564</v>
      </c>
      <c r="C186" s="8">
        <f t="shared" si="2"/>
        <v>3</v>
      </c>
    </row>
    <row r="187" spans="1:3" ht="15" thickBot="1" x14ac:dyDescent="0.35">
      <c r="A187" s="7">
        <v>45661</v>
      </c>
      <c r="B187" s="7">
        <v>44752</v>
      </c>
      <c r="C187" s="8">
        <f t="shared" si="2"/>
        <v>2</v>
      </c>
    </row>
    <row r="188" spans="1:3" ht="15" thickBot="1" x14ac:dyDescent="0.35">
      <c r="A188" s="7">
        <v>45663</v>
      </c>
      <c r="B188" s="7">
        <v>44824</v>
      </c>
      <c r="C188" s="8">
        <f t="shared" si="2"/>
        <v>2</v>
      </c>
    </row>
    <row r="189" spans="1:3" ht="15" thickBot="1" x14ac:dyDescent="0.35">
      <c r="A189" s="7">
        <v>45663</v>
      </c>
      <c r="B189" s="7">
        <v>44422</v>
      </c>
      <c r="C189" s="8">
        <f t="shared" si="2"/>
        <v>3</v>
      </c>
    </row>
    <row r="190" spans="1:3" ht="15" thickBot="1" x14ac:dyDescent="0.35">
      <c r="A190" s="7">
        <v>45666</v>
      </c>
      <c r="B190" s="7">
        <v>45105</v>
      </c>
      <c r="C190" s="8">
        <f t="shared" si="2"/>
        <v>1</v>
      </c>
    </row>
    <row r="191" spans="1:3" ht="15" thickBot="1" x14ac:dyDescent="0.35">
      <c r="A191" s="7">
        <v>45667</v>
      </c>
      <c r="B191" s="7">
        <v>44633</v>
      </c>
      <c r="C191" s="8">
        <f t="shared" si="2"/>
        <v>2</v>
      </c>
    </row>
    <row r="192" spans="1:3" ht="15" thickBot="1" x14ac:dyDescent="0.35">
      <c r="A192" s="7">
        <v>45667</v>
      </c>
      <c r="B192" s="7">
        <v>45330</v>
      </c>
      <c r="C192" s="8">
        <f t="shared" si="2"/>
        <v>0</v>
      </c>
    </row>
    <row r="193" spans="1:3" ht="15" thickBot="1" x14ac:dyDescent="0.35">
      <c r="A193" s="7">
        <v>45668</v>
      </c>
      <c r="B193" s="7">
        <v>44536</v>
      </c>
      <c r="C193" s="8">
        <f t="shared" si="2"/>
        <v>3</v>
      </c>
    </row>
    <row r="194" spans="1:3" ht="15" thickBot="1" x14ac:dyDescent="0.35">
      <c r="A194" s="7">
        <v>45668</v>
      </c>
      <c r="B194" s="7">
        <v>44602</v>
      </c>
      <c r="C194" s="8">
        <f t="shared" si="2"/>
        <v>2</v>
      </c>
    </row>
    <row r="195" spans="1:3" ht="15" thickBot="1" x14ac:dyDescent="0.35">
      <c r="A195" s="7">
        <v>45670</v>
      </c>
      <c r="B195" s="7">
        <v>45322</v>
      </c>
      <c r="C195" s="8">
        <f t="shared" si="2"/>
        <v>0</v>
      </c>
    </row>
    <row r="196" spans="1:3" ht="15" thickBot="1" x14ac:dyDescent="0.35">
      <c r="A196" s="7">
        <v>45670</v>
      </c>
      <c r="B196" s="7">
        <v>44436</v>
      </c>
      <c r="C196" s="8">
        <f t="shared" si="2"/>
        <v>3</v>
      </c>
    </row>
    <row r="197" spans="1:3" ht="15" thickBot="1" x14ac:dyDescent="0.35">
      <c r="A197" s="7">
        <v>45671</v>
      </c>
      <c r="B197" s="7">
        <v>44460</v>
      </c>
      <c r="C197" s="8">
        <f t="shared" si="2"/>
        <v>3</v>
      </c>
    </row>
    <row r="198" spans="1:3" ht="15" thickBot="1" x14ac:dyDescent="0.35">
      <c r="A198" s="7">
        <v>45671</v>
      </c>
      <c r="B198" s="7">
        <v>44913</v>
      </c>
      <c r="C198" s="8">
        <f t="shared" si="2"/>
        <v>2</v>
      </c>
    </row>
    <row r="199" spans="1:3" ht="15" thickBot="1" x14ac:dyDescent="0.35">
      <c r="A199" s="7">
        <v>45671</v>
      </c>
      <c r="B199" s="7">
        <v>45204</v>
      </c>
      <c r="C199" s="8">
        <f t="shared" si="2"/>
        <v>1</v>
      </c>
    </row>
    <row r="200" spans="1:3" ht="15" thickBot="1" x14ac:dyDescent="0.35">
      <c r="A200" s="7">
        <v>45673</v>
      </c>
      <c r="B200" s="7">
        <v>44544</v>
      </c>
      <c r="C200" s="8">
        <f t="shared" si="2"/>
        <v>3</v>
      </c>
    </row>
    <row r="201" spans="1:3" ht="15" thickBot="1" x14ac:dyDescent="0.35">
      <c r="A201" s="7">
        <v>45673</v>
      </c>
      <c r="B201" s="7">
        <v>44431</v>
      </c>
      <c r="C201" s="8">
        <f t="shared" ref="C201:C257" si="3">DATEDIF(B201,A201,"Y")</f>
        <v>3</v>
      </c>
    </row>
    <row r="202" spans="1:3" ht="15" thickBot="1" x14ac:dyDescent="0.35">
      <c r="A202" s="7">
        <v>45673</v>
      </c>
      <c r="B202" s="7">
        <v>44395</v>
      </c>
      <c r="C202" s="8">
        <f t="shared" si="3"/>
        <v>3</v>
      </c>
    </row>
    <row r="203" spans="1:3" ht="15" thickBot="1" x14ac:dyDescent="0.35">
      <c r="A203" s="7">
        <v>45676</v>
      </c>
      <c r="B203" s="7">
        <v>44642</v>
      </c>
      <c r="C203" s="8">
        <f t="shared" si="3"/>
        <v>2</v>
      </c>
    </row>
    <row r="204" spans="1:3" ht="15" thickBot="1" x14ac:dyDescent="0.35">
      <c r="A204" s="7">
        <v>45682</v>
      </c>
      <c r="B204" s="7">
        <v>44564</v>
      </c>
      <c r="C204" s="8">
        <f t="shared" si="3"/>
        <v>3</v>
      </c>
    </row>
    <row r="205" spans="1:3" ht="15" thickBot="1" x14ac:dyDescent="0.35">
      <c r="A205" s="7">
        <v>45683</v>
      </c>
      <c r="B205" s="7">
        <v>45217</v>
      </c>
      <c r="C205" s="8">
        <f t="shared" si="3"/>
        <v>1</v>
      </c>
    </row>
    <row r="206" spans="1:3" ht="15" thickBot="1" x14ac:dyDescent="0.35">
      <c r="A206" s="7">
        <v>45686</v>
      </c>
      <c r="B206" s="7">
        <v>44734</v>
      </c>
      <c r="C206" s="8">
        <f t="shared" si="3"/>
        <v>2</v>
      </c>
    </row>
    <row r="207" spans="1:3" ht="15" thickBot="1" x14ac:dyDescent="0.35">
      <c r="A207" s="7">
        <v>45686</v>
      </c>
      <c r="B207" s="7">
        <v>44952</v>
      </c>
      <c r="C207" s="8">
        <f t="shared" si="3"/>
        <v>2</v>
      </c>
    </row>
    <row r="208" spans="1:3" ht="15" thickBot="1" x14ac:dyDescent="0.35">
      <c r="A208" s="7">
        <v>45686</v>
      </c>
      <c r="B208" s="7">
        <v>44681</v>
      </c>
      <c r="C208" s="8">
        <f t="shared" si="3"/>
        <v>2</v>
      </c>
    </row>
    <row r="209" spans="1:3" ht="15" thickBot="1" x14ac:dyDescent="0.35">
      <c r="A209" s="7">
        <v>45688</v>
      </c>
      <c r="B209" s="7">
        <v>44692</v>
      </c>
      <c r="C209" s="8">
        <f t="shared" si="3"/>
        <v>2</v>
      </c>
    </row>
    <row r="210" spans="1:3" ht="15" thickBot="1" x14ac:dyDescent="0.35">
      <c r="A210" s="7">
        <v>45688</v>
      </c>
      <c r="B210" s="7">
        <v>44777</v>
      </c>
      <c r="C210" s="8">
        <f t="shared" si="3"/>
        <v>2</v>
      </c>
    </row>
    <row r="211" spans="1:3" ht="15" thickBot="1" x14ac:dyDescent="0.35">
      <c r="A211" s="7">
        <v>45688</v>
      </c>
      <c r="B211" s="7">
        <v>45307</v>
      </c>
      <c r="C211" s="8">
        <f t="shared" si="3"/>
        <v>1</v>
      </c>
    </row>
    <row r="212" spans="1:3" ht="15" thickBot="1" x14ac:dyDescent="0.35">
      <c r="A212" s="7">
        <v>45692</v>
      </c>
      <c r="B212" s="7">
        <v>45045</v>
      </c>
      <c r="C212" s="8">
        <f t="shared" si="3"/>
        <v>1</v>
      </c>
    </row>
    <row r="213" spans="1:3" ht="15" thickBot="1" x14ac:dyDescent="0.35">
      <c r="A213" s="7">
        <v>45695</v>
      </c>
      <c r="B213" s="7">
        <v>44564</v>
      </c>
      <c r="C213" s="8">
        <f t="shared" si="3"/>
        <v>3</v>
      </c>
    </row>
    <row r="214" spans="1:3" ht="15" thickBot="1" x14ac:dyDescent="0.35">
      <c r="A214" s="7">
        <v>45695</v>
      </c>
      <c r="B214" s="7">
        <v>44959</v>
      </c>
      <c r="C214" s="8">
        <f t="shared" si="3"/>
        <v>2</v>
      </c>
    </row>
    <row r="215" spans="1:3" ht="15" thickBot="1" x14ac:dyDescent="0.35">
      <c r="A215" s="7">
        <v>45696</v>
      </c>
      <c r="B215" s="7">
        <v>45177</v>
      </c>
      <c r="C215" s="8">
        <f t="shared" si="3"/>
        <v>1</v>
      </c>
    </row>
    <row r="216" spans="1:3" ht="15" thickBot="1" x14ac:dyDescent="0.35">
      <c r="A216" s="7">
        <v>45701</v>
      </c>
      <c r="B216" s="7">
        <v>44436</v>
      </c>
      <c r="C216" s="8">
        <f t="shared" si="3"/>
        <v>3</v>
      </c>
    </row>
    <row r="217" spans="1:3" ht="15" thickBot="1" x14ac:dyDescent="0.35">
      <c r="A217" s="7">
        <v>45704</v>
      </c>
      <c r="B217" s="7">
        <v>44735</v>
      </c>
      <c r="C217" s="8">
        <f t="shared" si="3"/>
        <v>2</v>
      </c>
    </row>
    <row r="218" spans="1:3" ht="15" thickBot="1" x14ac:dyDescent="0.35">
      <c r="A218" s="7">
        <v>45704</v>
      </c>
      <c r="B218" s="7">
        <v>45257</v>
      </c>
      <c r="C218" s="8">
        <f t="shared" si="3"/>
        <v>1</v>
      </c>
    </row>
    <row r="219" spans="1:3" ht="15" thickBot="1" x14ac:dyDescent="0.35">
      <c r="A219" s="7">
        <v>45705</v>
      </c>
      <c r="B219" s="7">
        <v>44728</v>
      </c>
      <c r="C219" s="8">
        <f t="shared" si="3"/>
        <v>2</v>
      </c>
    </row>
    <row r="220" spans="1:3" ht="15" thickBot="1" x14ac:dyDescent="0.35">
      <c r="A220" s="7">
        <v>45707</v>
      </c>
      <c r="B220" s="7">
        <v>45352</v>
      </c>
      <c r="C220" s="8">
        <f t="shared" si="3"/>
        <v>0</v>
      </c>
    </row>
    <row r="221" spans="1:3" ht="15" thickBot="1" x14ac:dyDescent="0.35">
      <c r="A221" s="7">
        <v>45707</v>
      </c>
      <c r="B221" s="7">
        <v>44633</v>
      </c>
      <c r="C221" s="8">
        <f t="shared" si="3"/>
        <v>2</v>
      </c>
    </row>
    <row r="222" spans="1:3" ht="15" thickBot="1" x14ac:dyDescent="0.35">
      <c r="A222" s="7">
        <v>45708</v>
      </c>
      <c r="B222" s="7">
        <v>44613</v>
      </c>
      <c r="C222" s="8">
        <f t="shared" si="3"/>
        <v>2</v>
      </c>
    </row>
    <row r="223" spans="1:3" ht="15" thickBot="1" x14ac:dyDescent="0.35">
      <c r="A223" s="7">
        <v>45708</v>
      </c>
      <c r="B223" s="7">
        <v>44823</v>
      </c>
      <c r="C223" s="8">
        <f t="shared" si="3"/>
        <v>2</v>
      </c>
    </row>
    <row r="224" spans="1:3" ht="15" thickBot="1" x14ac:dyDescent="0.35">
      <c r="A224" s="7">
        <v>45710</v>
      </c>
      <c r="B224" s="7">
        <v>45142</v>
      </c>
      <c r="C224" s="8">
        <f t="shared" si="3"/>
        <v>1</v>
      </c>
    </row>
    <row r="225" spans="1:3" ht="15" thickBot="1" x14ac:dyDescent="0.35">
      <c r="A225" s="7">
        <v>45710</v>
      </c>
      <c r="B225" s="7">
        <v>44934</v>
      </c>
      <c r="C225" s="8">
        <f t="shared" si="3"/>
        <v>2</v>
      </c>
    </row>
    <row r="226" spans="1:3" ht="15" thickBot="1" x14ac:dyDescent="0.35">
      <c r="A226" s="7">
        <v>45711</v>
      </c>
      <c r="B226" s="7">
        <v>44583</v>
      </c>
      <c r="C226" s="8">
        <f t="shared" si="3"/>
        <v>3</v>
      </c>
    </row>
    <row r="227" spans="1:3" ht="15" thickBot="1" x14ac:dyDescent="0.35">
      <c r="A227" s="7">
        <v>45711</v>
      </c>
      <c r="B227" s="7">
        <v>44412</v>
      </c>
      <c r="C227" s="8">
        <f t="shared" si="3"/>
        <v>3</v>
      </c>
    </row>
    <row r="228" spans="1:3" ht="15" thickBot="1" x14ac:dyDescent="0.35">
      <c r="A228" s="7">
        <v>45711</v>
      </c>
      <c r="B228" s="7">
        <v>45140</v>
      </c>
      <c r="C228" s="8">
        <f t="shared" si="3"/>
        <v>1</v>
      </c>
    </row>
    <row r="229" spans="1:3" ht="15" thickBot="1" x14ac:dyDescent="0.35">
      <c r="A229" s="7">
        <v>45712</v>
      </c>
      <c r="B229" s="7">
        <v>44573</v>
      </c>
      <c r="C229" s="8">
        <f t="shared" si="3"/>
        <v>3</v>
      </c>
    </row>
    <row r="230" spans="1:3" ht="15" thickBot="1" x14ac:dyDescent="0.35">
      <c r="A230" s="7">
        <v>45715</v>
      </c>
      <c r="B230" s="7">
        <v>45070</v>
      </c>
      <c r="C230" s="8">
        <f t="shared" si="3"/>
        <v>1</v>
      </c>
    </row>
    <row r="231" spans="1:3" ht="15" thickBot="1" x14ac:dyDescent="0.35">
      <c r="A231" s="7">
        <v>45715</v>
      </c>
      <c r="B231" s="7">
        <v>44576</v>
      </c>
      <c r="C231" s="8">
        <f t="shared" si="3"/>
        <v>3</v>
      </c>
    </row>
    <row r="232" spans="1:3" ht="15" thickBot="1" x14ac:dyDescent="0.35">
      <c r="A232" s="7">
        <v>45718</v>
      </c>
      <c r="B232" s="7">
        <v>45068</v>
      </c>
      <c r="C232" s="8">
        <f t="shared" si="3"/>
        <v>1</v>
      </c>
    </row>
    <row r="233" spans="1:3" ht="15" thickBot="1" x14ac:dyDescent="0.35">
      <c r="A233" s="7">
        <v>45720</v>
      </c>
      <c r="B233" s="7">
        <v>45161</v>
      </c>
      <c r="C233" s="8">
        <f t="shared" si="3"/>
        <v>1</v>
      </c>
    </row>
    <row r="234" spans="1:3" ht="15" thickBot="1" x14ac:dyDescent="0.35">
      <c r="A234" s="7">
        <v>45721</v>
      </c>
      <c r="B234" s="7">
        <v>45291</v>
      </c>
      <c r="C234" s="8">
        <f t="shared" si="3"/>
        <v>1</v>
      </c>
    </row>
    <row r="235" spans="1:3" ht="15" thickBot="1" x14ac:dyDescent="0.35">
      <c r="A235" s="7">
        <v>45723</v>
      </c>
      <c r="B235" s="7">
        <v>45295</v>
      </c>
      <c r="C235" s="8">
        <f t="shared" si="3"/>
        <v>1</v>
      </c>
    </row>
    <row r="236" spans="1:3" ht="15" thickBot="1" x14ac:dyDescent="0.35">
      <c r="A236" s="7">
        <v>45723</v>
      </c>
      <c r="B236" s="7">
        <v>44540</v>
      </c>
      <c r="C236" s="8">
        <f t="shared" si="3"/>
        <v>3</v>
      </c>
    </row>
    <row r="237" spans="1:3" ht="15" thickBot="1" x14ac:dyDescent="0.35">
      <c r="A237" s="7">
        <v>45724</v>
      </c>
      <c r="B237" s="7">
        <v>44632</v>
      </c>
      <c r="C237" s="8">
        <f t="shared" si="3"/>
        <v>2</v>
      </c>
    </row>
    <row r="238" spans="1:3" ht="15" thickBot="1" x14ac:dyDescent="0.35">
      <c r="A238" s="7">
        <v>45724</v>
      </c>
      <c r="B238" s="7">
        <v>45389</v>
      </c>
      <c r="C238" s="8">
        <f t="shared" si="3"/>
        <v>0</v>
      </c>
    </row>
    <row r="239" spans="1:3" ht="15" thickBot="1" x14ac:dyDescent="0.35">
      <c r="A239" s="7">
        <v>45724</v>
      </c>
      <c r="B239" s="7">
        <v>45263</v>
      </c>
      <c r="C239" s="8">
        <f t="shared" si="3"/>
        <v>1</v>
      </c>
    </row>
    <row r="240" spans="1:3" ht="15" thickBot="1" x14ac:dyDescent="0.35">
      <c r="A240" s="7">
        <v>45726</v>
      </c>
      <c r="B240" s="7">
        <v>45117</v>
      </c>
      <c r="C240" s="8">
        <f t="shared" si="3"/>
        <v>1</v>
      </c>
    </row>
    <row r="241" spans="1:3" ht="15" thickBot="1" x14ac:dyDescent="0.35">
      <c r="A241" s="7">
        <v>45734</v>
      </c>
      <c r="B241" s="7">
        <v>45193</v>
      </c>
      <c r="C241" s="8">
        <f t="shared" si="3"/>
        <v>1</v>
      </c>
    </row>
    <row r="242" spans="1:3" ht="15" thickBot="1" x14ac:dyDescent="0.35">
      <c r="A242" s="7">
        <v>45737</v>
      </c>
      <c r="B242" s="7">
        <v>45233</v>
      </c>
      <c r="C242" s="8">
        <f t="shared" si="3"/>
        <v>1</v>
      </c>
    </row>
    <row r="243" spans="1:3" ht="15" thickBot="1" x14ac:dyDescent="0.35">
      <c r="A243" s="7">
        <v>45737</v>
      </c>
      <c r="B243" s="7">
        <v>44876</v>
      </c>
      <c r="C243" s="8">
        <f t="shared" si="3"/>
        <v>2</v>
      </c>
    </row>
    <row r="244" spans="1:3" ht="15" thickBot="1" x14ac:dyDescent="0.35">
      <c r="A244" s="7">
        <v>45737</v>
      </c>
      <c r="B244" s="7">
        <v>44975</v>
      </c>
      <c r="C244" s="8">
        <f t="shared" si="3"/>
        <v>2</v>
      </c>
    </row>
    <row r="245" spans="1:3" ht="15" thickBot="1" x14ac:dyDescent="0.35">
      <c r="A245" s="7">
        <v>45739</v>
      </c>
      <c r="B245" s="7">
        <v>45234</v>
      </c>
      <c r="C245" s="8">
        <f t="shared" si="3"/>
        <v>1</v>
      </c>
    </row>
    <row r="246" spans="1:3" ht="15" thickBot="1" x14ac:dyDescent="0.35">
      <c r="A246" s="7">
        <v>45740</v>
      </c>
      <c r="B246" s="7">
        <v>44560</v>
      </c>
      <c r="C246" s="8">
        <f t="shared" si="3"/>
        <v>3</v>
      </c>
    </row>
    <row r="247" spans="1:3" ht="15" thickBot="1" x14ac:dyDescent="0.35">
      <c r="A247" s="7">
        <v>45743</v>
      </c>
      <c r="B247" s="7">
        <v>45288</v>
      </c>
      <c r="C247" s="8">
        <f t="shared" si="3"/>
        <v>1</v>
      </c>
    </row>
    <row r="248" spans="1:3" ht="15" thickBot="1" x14ac:dyDescent="0.35">
      <c r="A248" s="7">
        <v>45745</v>
      </c>
      <c r="B248" s="7">
        <v>44704</v>
      </c>
      <c r="C248" s="8">
        <f t="shared" si="3"/>
        <v>2</v>
      </c>
    </row>
    <row r="249" spans="1:3" ht="15" thickBot="1" x14ac:dyDescent="0.35">
      <c r="A249" s="7">
        <v>45746</v>
      </c>
      <c r="B249" s="7">
        <v>45171</v>
      </c>
      <c r="C249" s="8">
        <f t="shared" si="3"/>
        <v>1</v>
      </c>
    </row>
    <row r="250" spans="1:3" ht="15" thickBot="1" x14ac:dyDescent="0.35">
      <c r="A250" s="7">
        <v>45746</v>
      </c>
      <c r="B250" s="7">
        <v>44522</v>
      </c>
      <c r="C250" s="8">
        <f t="shared" si="3"/>
        <v>3</v>
      </c>
    </row>
    <row r="251" spans="1:3" ht="15" thickBot="1" x14ac:dyDescent="0.35">
      <c r="A251" s="7">
        <v>45748</v>
      </c>
      <c r="B251" s="7">
        <v>44618</v>
      </c>
      <c r="C251" s="8">
        <f t="shared" si="3"/>
        <v>3</v>
      </c>
    </row>
    <row r="252" spans="1:3" ht="15" thickBot="1" x14ac:dyDescent="0.35">
      <c r="A252" s="7">
        <v>45749</v>
      </c>
      <c r="B252" s="7">
        <v>44953</v>
      </c>
      <c r="C252" s="8">
        <f t="shared" si="3"/>
        <v>2</v>
      </c>
    </row>
    <row r="253" spans="1:3" ht="15" thickBot="1" x14ac:dyDescent="0.35">
      <c r="A253" s="7">
        <v>45755</v>
      </c>
      <c r="B253" s="7">
        <v>44511</v>
      </c>
      <c r="C253" s="8">
        <f t="shared" si="3"/>
        <v>3</v>
      </c>
    </row>
    <row r="254" spans="1:3" ht="15" thickBot="1" x14ac:dyDescent="0.35">
      <c r="A254" s="7">
        <v>45756</v>
      </c>
      <c r="B254" s="7">
        <v>45346</v>
      </c>
      <c r="C254" s="8">
        <f t="shared" si="3"/>
        <v>1</v>
      </c>
    </row>
    <row r="255" spans="1:3" ht="15" thickBot="1" x14ac:dyDescent="0.35">
      <c r="A255" s="7">
        <v>45758</v>
      </c>
      <c r="B255" s="7">
        <v>44909</v>
      </c>
      <c r="C255" s="8">
        <f t="shared" si="3"/>
        <v>2</v>
      </c>
    </row>
    <row r="256" spans="1:3" ht="15" thickBot="1" x14ac:dyDescent="0.35">
      <c r="A256" s="7">
        <v>45758</v>
      </c>
      <c r="B256" s="7">
        <v>45088</v>
      </c>
      <c r="C256" s="8">
        <f t="shared" si="3"/>
        <v>1</v>
      </c>
    </row>
    <row r="257" spans="1:3" ht="15" thickBot="1" x14ac:dyDescent="0.35">
      <c r="A257" s="7">
        <v>45758</v>
      </c>
      <c r="B257" s="7">
        <v>44878</v>
      </c>
      <c r="C257" s="8">
        <f t="shared" si="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77F8-A747-48A4-B356-BCBB1829BCCD}">
  <dimension ref="A1:AC251"/>
  <sheetViews>
    <sheetView topLeftCell="I1" workbookViewId="0">
      <selection activeCell="Y8" sqref="Y8"/>
    </sheetView>
  </sheetViews>
  <sheetFormatPr defaultRowHeight="14.4" x14ac:dyDescent="0.3"/>
  <cols>
    <col min="2" max="2" width="10.33203125" bestFit="1" customWidth="1"/>
    <col min="13" max="13" width="10.3320312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row>
    <row r="2" spans="1:29" x14ac:dyDescent="0.3">
      <c r="A2" t="s">
        <v>14</v>
      </c>
      <c r="B2" s="3">
        <v>45393</v>
      </c>
      <c r="C2" t="s">
        <v>15</v>
      </c>
      <c r="D2" t="s">
        <v>16</v>
      </c>
      <c r="E2" t="s">
        <v>17</v>
      </c>
      <c r="F2" t="s">
        <v>18</v>
      </c>
      <c r="G2" t="s">
        <v>19</v>
      </c>
      <c r="H2">
        <v>3</v>
      </c>
      <c r="I2">
        <v>249.99</v>
      </c>
      <c r="J2" t="s">
        <v>20</v>
      </c>
      <c r="K2" t="s">
        <v>21</v>
      </c>
      <c r="L2" t="s">
        <v>22</v>
      </c>
      <c r="M2" s="3">
        <v>44425</v>
      </c>
      <c r="N2">
        <v>749.97</v>
      </c>
      <c r="P2" s="8" t="s">
        <v>455</v>
      </c>
      <c r="Q2" s="8"/>
      <c r="R2" s="8"/>
      <c r="S2" s="8"/>
      <c r="T2" s="8"/>
    </row>
    <row r="3" spans="1:29" x14ac:dyDescent="0.3">
      <c r="A3" t="s">
        <v>23</v>
      </c>
      <c r="B3" s="3">
        <v>45396</v>
      </c>
      <c r="C3" t="s">
        <v>24</v>
      </c>
      <c r="D3" t="s">
        <v>25</v>
      </c>
      <c r="E3" t="s">
        <v>17</v>
      </c>
      <c r="F3" t="s">
        <v>18</v>
      </c>
      <c r="G3" t="s">
        <v>19</v>
      </c>
      <c r="H3">
        <v>3</v>
      </c>
      <c r="I3">
        <v>249.99</v>
      </c>
      <c r="J3" t="s">
        <v>26</v>
      </c>
      <c r="K3" t="s">
        <v>21</v>
      </c>
      <c r="L3" t="s">
        <v>27</v>
      </c>
      <c r="M3" s="3">
        <v>44575</v>
      </c>
      <c r="N3">
        <v>749.97</v>
      </c>
    </row>
    <row r="4" spans="1:29" x14ac:dyDescent="0.3">
      <c r="A4" t="s">
        <v>28</v>
      </c>
      <c r="B4" s="3">
        <v>45399</v>
      </c>
      <c r="C4" t="s">
        <v>29</v>
      </c>
      <c r="D4" t="s">
        <v>30</v>
      </c>
      <c r="E4" t="s">
        <v>31</v>
      </c>
      <c r="F4" t="s">
        <v>32</v>
      </c>
      <c r="G4" t="s">
        <v>33</v>
      </c>
      <c r="H4">
        <v>3</v>
      </c>
      <c r="I4">
        <v>59.99</v>
      </c>
      <c r="J4" t="s">
        <v>34</v>
      </c>
      <c r="K4" t="s">
        <v>35</v>
      </c>
      <c r="L4" t="s">
        <v>36</v>
      </c>
      <c r="M4" s="3">
        <v>45262</v>
      </c>
      <c r="N4">
        <v>179.97</v>
      </c>
      <c r="P4" t="str" cm="1">
        <f t="array" ref="P4:AC27">_xlfn._xlws.FILTER(A2:N501, F2:F501="Laptop", "No results")</f>
        <v>TRX0135</v>
      </c>
      <c r="Q4">
        <v>45405</v>
      </c>
      <c r="R4" t="str">
        <v>CUST009</v>
      </c>
      <c r="S4" t="str">
        <v>Robert Thomas</v>
      </c>
      <c r="T4" t="str">
        <v>P001</v>
      </c>
      <c r="U4" t="str">
        <v>Laptop</v>
      </c>
      <c r="V4" t="str">
        <v>Electronics</v>
      </c>
      <c r="W4">
        <v>3</v>
      </c>
      <c r="X4">
        <v>899.99</v>
      </c>
      <c r="Y4" t="str">
        <v>PayPal</v>
      </c>
      <c r="Z4" t="str">
        <v>East</v>
      </c>
      <c r="AA4" t="str">
        <v>Standard</v>
      </c>
      <c r="AB4">
        <v>45299</v>
      </c>
      <c r="AC4">
        <v>2699.97</v>
      </c>
    </row>
    <row r="5" spans="1:29" x14ac:dyDescent="0.3">
      <c r="A5" t="s">
        <v>37</v>
      </c>
      <c r="B5" s="3">
        <v>45400</v>
      </c>
      <c r="C5" t="s">
        <v>38</v>
      </c>
      <c r="D5" t="s">
        <v>39</v>
      </c>
      <c r="E5" t="s">
        <v>31</v>
      </c>
      <c r="F5" t="s">
        <v>32</v>
      </c>
      <c r="G5" t="s">
        <v>33</v>
      </c>
      <c r="H5">
        <v>3</v>
      </c>
      <c r="I5">
        <v>59.99</v>
      </c>
      <c r="J5" t="s">
        <v>20</v>
      </c>
      <c r="K5" t="s">
        <v>40</v>
      </c>
      <c r="L5" t="s">
        <v>27</v>
      </c>
      <c r="M5" s="3">
        <v>45114</v>
      </c>
      <c r="N5">
        <v>179.97</v>
      </c>
      <c r="P5" t="str">
        <v>TRX0230</v>
      </c>
      <c r="Q5">
        <v>45409</v>
      </c>
      <c r="R5" t="str">
        <v>CUST027</v>
      </c>
      <c r="S5" t="str">
        <v>George Adams</v>
      </c>
      <c r="T5" t="str">
        <v>P001</v>
      </c>
      <c r="U5" t="str">
        <v>Laptop</v>
      </c>
      <c r="V5" t="str">
        <v>Electronics</v>
      </c>
      <c r="W5">
        <v>1</v>
      </c>
      <c r="X5">
        <v>899.99</v>
      </c>
      <c r="Y5" t="str">
        <v>Debit Card</v>
      </c>
      <c r="Z5" t="str">
        <v>North</v>
      </c>
      <c r="AA5" t="str">
        <v>Standard</v>
      </c>
      <c r="AB5">
        <v>44920</v>
      </c>
      <c r="AC5">
        <v>899.99</v>
      </c>
    </row>
    <row r="6" spans="1:29" x14ac:dyDescent="0.3">
      <c r="A6" t="s">
        <v>41</v>
      </c>
      <c r="B6" s="3">
        <v>45400</v>
      </c>
      <c r="C6" t="s">
        <v>42</v>
      </c>
      <c r="D6" t="s">
        <v>43</v>
      </c>
      <c r="E6" t="s">
        <v>44</v>
      </c>
      <c r="F6" t="s">
        <v>45</v>
      </c>
      <c r="G6" t="s">
        <v>46</v>
      </c>
      <c r="H6">
        <v>5</v>
      </c>
      <c r="I6">
        <v>149.99</v>
      </c>
      <c r="J6" t="s">
        <v>26</v>
      </c>
      <c r="K6" t="s">
        <v>40</v>
      </c>
      <c r="L6" t="s">
        <v>27</v>
      </c>
      <c r="M6" s="3">
        <v>45295</v>
      </c>
      <c r="N6">
        <v>749.95</v>
      </c>
      <c r="P6" t="str">
        <v>TRX0122</v>
      </c>
      <c r="Q6">
        <v>45410</v>
      </c>
      <c r="R6" t="str">
        <v>CUST025</v>
      </c>
      <c r="S6" t="str">
        <v>Mark Carter</v>
      </c>
      <c r="T6" t="str">
        <v>P001</v>
      </c>
      <c r="U6" t="str">
        <v>Laptop</v>
      </c>
      <c r="V6" t="str">
        <v>Electronics</v>
      </c>
      <c r="W6">
        <v>4</v>
      </c>
      <c r="X6">
        <v>899.99</v>
      </c>
      <c r="Y6" t="str">
        <v>Credit Card</v>
      </c>
      <c r="Z6" t="str">
        <v>West</v>
      </c>
      <c r="AA6" t="str">
        <v>Standard</v>
      </c>
      <c r="AB6">
        <v>45327</v>
      </c>
      <c r="AC6">
        <v>3599.96</v>
      </c>
    </row>
    <row r="7" spans="1:29" x14ac:dyDescent="0.3">
      <c r="A7" t="s">
        <v>47</v>
      </c>
      <c r="B7" s="3">
        <v>45403</v>
      </c>
      <c r="C7" t="s">
        <v>48</v>
      </c>
      <c r="D7" t="s">
        <v>49</v>
      </c>
      <c r="E7" t="s">
        <v>31</v>
      </c>
      <c r="F7" t="s">
        <v>32</v>
      </c>
      <c r="G7" t="s">
        <v>33</v>
      </c>
      <c r="H7">
        <v>2</v>
      </c>
      <c r="I7">
        <v>59.99</v>
      </c>
      <c r="J7" t="s">
        <v>20</v>
      </c>
      <c r="K7" t="s">
        <v>50</v>
      </c>
      <c r="L7" t="s">
        <v>36</v>
      </c>
      <c r="M7" s="3">
        <v>44746</v>
      </c>
      <c r="N7">
        <v>119.98</v>
      </c>
      <c r="P7" t="str">
        <v>TRX0041</v>
      </c>
      <c r="Q7">
        <v>45432</v>
      </c>
      <c r="R7" t="str">
        <v>CUST021</v>
      </c>
      <c r="S7" t="str">
        <v>Kevin Scott</v>
      </c>
      <c r="T7" t="str">
        <v>P001</v>
      </c>
      <c r="U7" t="str">
        <v>Laptop</v>
      </c>
      <c r="V7" t="str">
        <v>Electronics</v>
      </c>
      <c r="W7">
        <v>1</v>
      </c>
      <c r="X7">
        <v>899.99</v>
      </c>
      <c r="Y7" t="str">
        <v>Credit Card</v>
      </c>
      <c r="Z7" t="str">
        <v>West</v>
      </c>
      <c r="AA7" t="str">
        <v>Premium</v>
      </c>
      <c r="AB7">
        <v>44578</v>
      </c>
      <c r="AC7">
        <v>899.99</v>
      </c>
    </row>
    <row r="8" spans="1:29" x14ac:dyDescent="0.3">
      <c r="A8" t="s">
        <v>51</v>
      </c>
      <c r="B8" s="3">
        <v>45403</v>
      </c>
      <c r="C8" t="s">
        <v>48</v>
      </c>
      <c r="D8" t="s">
        <v>49</v>
      </c>
      <c r="E8" t="s">
        <v>52</v>
      </c>
      <c r="F8" t="s">
        <v>53</v>
      </c>
      <c r="G8" t="s">
        <v>19</v>
      </c>
      <c r="H8">
        <v>5</v>
      </c>
      <c r="I8">
        <v>149.99</v>
      </c>
      <c r="J8" t="s">
        <v>26</v>
      </c>
      <c r="K8" t="s">
        <v>21</v>
      </c>
      <c r="L8" t="s">
        <v>36</v>
      </c>
      <c r="M8" s="3">
        <v>44418</v>
      </c>
      <c r="N8">
        <v>749.95</v>
      </c>
      <c r="P8" t="str">
        <v>TRX0154</v>
      </c>
      <c r="Q8">
        <v>45459</v>
      </c>
      <c r="R8" t="str">
        <v>CUST023</v>
      </c>
      <c r="S8" t="str">
        <v>Paul Baker</v>
      </c>
      <c r="T8" t="str">
        <v>P001</v>
      </c>
      <c r="U8" t="str">
        <v>Laptop</v>
      </c>
      <c r="V8" t="str">
        <v>Electronics</v>
      </c>
      <c r="W8">
        <v>5</v>
      </c>
      <c r="X8">
        <v>899.99</v>
      </c>
      <c r="Y8" t="str">
        <v>Credit Card</v>
      </c>
      <c r="Z8" t="str">
        <v>South</v>
      </c>
      <c r="AA8" t="str">
        <v>Standard</v>
      </c>
      <c r="AB8">
        <v>44974</v>
      </c>
      <c r="AC8">
        <v>4499.95</v>
      </c>
    </row>
    <row r="9" spans="1:29" x14ac:dyDescent="0.3">
      <c r="A9" t="s">
        <v>54</v>
      </c>
      <c r="B9" s="3">
        <v>45403</v>
      </c>
      <c r="C9" t="s">
        <v>55</v>
      </c>
      <c r="D9" t="s">
        <v>56</v>
      </c>
      <c r="E9" t="s">
        <v>31</v>
      </c>
      <c r="F9" t="s">
        <v>32</v>
      </c>
      <c r="G9" t="s">
        <v>33</v>
      </c>
      <c r="H9">
        <v>3</v>
      </c>
      <c r="I9">
        <v>59.99</v>
      </c>
      <c r="J9" t="s">
        <v>57</v>
      </c>
      <c r="K9" t="s">
        <v>35</v>
      </c>
      <c r="L9" t="s">
        <v>22</v>
      </c>
      <c r="M9" s="3">
        <v>45007</v>
      </c>
      <c r="N9">
        <v>179.97</v>
      </c>
      <c r="P9" t="str">
        <v>TRX0044</v>
      </c>
      <c r="Q9">
        <v>45459</v>
      </c>
      <c r="R9" t="str">
        <v>CUST029</v>
      </c>
      <c r="S9" t="str">
        <v>Edward Mitchell</v>
      </c>
      <c r="T9" t="str">
        <v>P001</v>
      </c>
      <c r="U9" t="str">
        <v>Laptop</v>
      </c>
      <c r="V9" t="str">
        <v>Electronics</v>
      </c>
      <c r="W9">
        <v>5</v>
      </c>
      <c r="X9">
        <v>899.99</v>
      </c>
      <c r="Y9" t="str">
        <v>PayPal</v>
      </c>
      <c r="Z9" t="str">
        <v>East</v>
      </c>
      <c r="AA9" t="str">
        <v>Premium</v>
      </c>
      <c r="AB9">
        <v>45278</v>
      </c>
      <c r="AC9">
        <v>4499.95</v>
      </c>
    </row>
    <row r="10" spans="1:29" x14ac:dyDescent="0.3">
      <c r="A10" t="s">
        <v>58</v>
      </c>
      <c r="B10" s="3">
        <v>45405</v>
      </c>
      <c r="C10" t="s">
        <v>59</v>
      </c>
      <c r="D10" t="s">
        <v>60</v>
      </c>
      <c r="E10" t="s">
        <v>61</v>
      </c>
      <c r="F10" t="s">
        <v>62</v>
      </c>
      <c r="G10" t="s">
        <v>19</v>
      </c>
      <c r="H10">
        <v>3</v>
      </c>
      <c r="I10">
        <v>899.99</v>
      </c>
      <c r="J10" t="s">
        <v>34</v>
      </c>
      <c r="K10" t="s">
        <v>63</v>
      </c>
      <c r="L10" t="s">
        <v>36</v>
      </c>
      <c r="M10" s="3">
        <v>45299</v>
      </c>
      <c r="N10">
        <v>2699.97</v>
      </c>
      <c r="P10" t="str">
        <v>TRX0104</v>
      </c>
      <c r="Q10">
        <v>45471</v>
      </c>
      <c r="R10" t="str">
        <v>CUST012</v>
      </c>
      <c r="S10" t="str">
        <v>Patricia Moore</v>
      </c>
      <c r="T10" t="str">
        <v>P001</v>
      </c>
      <c r="U10" t="str">
        <v>Laptop</v>
      </c>
      <c r="V10" t="str">
        <v>Electronics</v>
      </c>
      <c r="W10">
        <v>4</v>
      </c>
      <c r="X10">
        <v>899.99</v>
      </c>
      <c r="Y10" t="str">
        <v>Credit Card</v>
      </c>
      <c r="Z10" t="str">
        <v>East</v>
      </c>
      <c r="AA10" t="str">
        <v>Premium</v>
      </c>
      <c r="AB10">
        <v>44993</v>
      </c>
      <c r="AC10">
        <v>3599.96</v>
      </c>
    </row>
    <row r="11" spans="1:29" x14ac:dyDescent="0.3">
      <c r="A11" t="s">
        <v>64</v>
      </c>
      <c r="B11" s="3">
        <v>45408</v>
      </c>
      <c r="C11" t="s">
        <v>65</v>
      </c>
      <c r="D11" t="s">
        <v>66</v>
      </c>
      <c r="E11" t="s">
        <v>31</v>
      </c>
      <c r="F11" t="s">
        <v>32</v>
      </c>
      <c r="G11" t="s">
        <v>33</v>
      </c>
      <c r="H11">
        <v>3</v>
      </c>
      <c r="I11">
        <v>59.99</v>
      </c>
      <c r="J11" t="s">
        <v>20</v>
      </c>
      <c r="K11" t="s">
        <v>50</v>
      </c>
      <c r="L11" t="s">
        <v>27</v>
      </c>
      <c r="M11" s="3">
        <v>45207</v>
      </c>
      <c r="N11">
        <v>179.97</v>
      </c>
      <c r="P11" t="str">
        <v>TRX0162</v>
      </c>
      <c r="Q11">
        <v>45496</v>
      </c>
      <c r="R11" t="str">
        <v>CUST040</v>
      </c>
      <c r="S11" t="str">
        <v>Sharon Butler</v>
      </c>
      <c r="T11" t="str">
        <v>P001</v>
      </c>
      <c r="U11" t="str">
        <v>Laptop</v>
      </c>
      <c r="V11" t="str">
        <v>Electronics</v>
      </c>
      <c r="W11">
        <v>1</v>
      </c>
      <c r="X11">
        <v>899.99</v>
      </c>
      <c r="Y11" t="str">
        <v>Cash</v>
      </c>
      <c r="Z11" t="str">
        <v>Central</v>
      </c>
      <c r="AA11" t="str">
        <v>Standard</v>
      </c>
      <c r="AB11">
        <v>45179</v>
      </c>
      <c r="AC11">
        <v>899.99</v>
      </c>
    </row>
    <row r="12" spans="1:29" x14ac:dyDescent="0.3">
      <c r="A12" t="s">
        <v>67</v>
      </c>
      <c r="B12" s="3">
        <v>45408</v>
      </c>
      <c r="C12" t="s">
        <v>68</v>
      </c>
      <c r="D12" t="s">
        <v>69</v>
      </c>
      <c r="E12" t="s">
        <v>44</v>
      </c>
      <c r="F12" t="s">
        <v>45</v>
      </c>
      <c r="G12" t="s">
        <v>46</v>
      </c>
      <c r="H12">
        <v>1</v>
      </c>
      <c r="I12">
        <v>149.99</v>
      </c>
      <c r="J12" t="s">
        <v>26</v>
      </c>
      <c r="K12" t="s">
        <v>50</v>
      </c>
      <c r="L12" t="s">
        <v>36</v>
      </c>
      <c r="M12" s="3">
        <v>45103</v>
      </c>
      <c r="N12">
        <v>149.99</v>
      </c>
      <c r="P12" t="str">
        <v>TRX0244</v>
      </c>
      <c r="Q12">
        <v>45497</v>
      </c>
      <c r="R12" t="str">
        <v>CUST013</v>
      </c>
      <c r="S12" t="str">
        <v>Joseph Jackson</v>
      </c>
      <c r="T12" t="str">
        <v>P001</v>
      </c>
      <c r="U12" t="str">
        <v>Laptop</v>
      </c>
      <c r="V12" t="str">
        <v>Electronics</v>
      </c>
      <c r="W12">
        <v>5</v>
      </c>
      <c r="X12">
        <v>899.99</v>
      </c>
      <c r="Y12" t="str">
        <v>Debit Card</v>
      </c>
      <c r="Z12" t="str">
        <v>South</v>
      </c>
      <c r="AA12" t="str">
        <v>Standard</v>
      </c>
      <c r="AB12">
        <v>44899</v>
      </c>
      <c r="AC12">
        <v>4499.95</v>
      </c>
    </row>
    <row r="13" spans="1:29" x14ac:dyDescent="0.3">
      <c r="A13" t="s">
        <v>70</v>
      </c>
      <c r="B13" s="3">
        <v>45408</v>
      </c>
      <c r="C13" t="s">
        <v>38</v>
      </c>
      <c r="D13" t="s">
        <v>39</v>
      </c>
      <c r="E13" t="s">
        <v>44</v>
      </c>
      <c r="F13" t="s">
        <v>45</v>
      </c>
      <c r="G13" t="s">
        <v>46</v>
      </c>
      <c r="H13">
        <v>5</v>
      </c>
      <c r="I13">
        <v>149.99</v>
      </c>
      <c r="J13" t="s">
        <v>57</v>
      </c>
      <c r="K13" t="s">
        <v>40</v>
      </c>
      <c r="L13" t="s">
        <v>22</v>
      </c>
      <c r="M13" s="3">
        <v>44830</v>
      </c>
      <c r="N13">
        <v>749.95</v>
      </c>
      <c r="P13" t="str">
        <v>TRX0249</v>
      </c>
      <c r="Q13">
        <v>45504</v>
      </c>
      <c r="R13" t="str">
        <v>CUST030</v>
      </c>
      <c r="S13" t="str">
        <v>Helen Roberts</v>
      </c>
      <c r="T13" t="str">
        <v>P001</v>
      </c>
      <c r="U13" t="str">
        <v>Laptop</v>
      </c>
      <c r="V13" t="str">
        <v>Electronics</v>
      </c>
      <c r="W13">
        <v>4</v>
      </c>
      <c r="X13">
        <v>899.99</v>
      </c>
      <c r="Y13" t="str">
        <v>Debit Card</v>
      </c>
      <c r="Z13" t="str">
        <v>South</v>
      </c>
      <c r="AA13" t="str">
        <v>Standard</v>
      </c>
      <c r="AB13">
        <v>44523</v>
      </c>
      <c r="AC13">
        <v>3599.96</v>
      </c>
    </row>
    <row r="14" spans="1:29" x14ac:dyDescent="0.3">
      <c r="A14" t="s">
        <v>71</v>
      </c>
      <c r="B14" s="3">
        <v>45408</v>
      </c>
      <c r="C14" t="s">
        <v>72</v>
      </c>
      <c r="D14" t="s">
        <v>73</v>
      </c>
      <c r="E14" t="s">
        <v>44</v>
      </c>
      <c r="F14" t="s">
        <v>45</v>
      </c>
      <c r="G14" t="s">
        <v>46</v>
      </c>
      <c r="H14">
        <v>3</v>
      </c>
      <c r="I14">
        <v>149.99</v>
      </c>
      <c r="J14" t="s">
        <v>20</v>
      </c>
      <c r="K14" t="s">
        <v>40</v>
      </c>
      <c r="L14" t="s">
        <v>27</v>
      </c>
      <c r="M14" s="3">
        <v>44806</v>
      </c>
      <c r="N14">
        <v>449.97</v>
      </c>
      <c r="P14" t="str">
        <v>TRX0132</v>
      </c>
      <c r="Q14">
        <v>45523</v>
      </c>
      <c r="R14" t="str">
        <v>CUST047</v>
      </c>
      <c r="S14" t="str">
        <v>Gerald Murphy</v>
      </c>
      <c r="T14" t="str">
        <v>P001</v>
      </c>
      <c r="U14" t="str">
        <v>Laptop</v>
      </c>
      <c r="V14" t="str">
        <v>Electronics</v>
      </c>
      <c r="W14">
        <v>5</v>
      </c>
      <c r="X14">
        <v>899.99</v>
      </c>
      <c r="Y14" t="str">
        <v>Debit Card</v>
      </c>
      <c r="Z14" t="str">
        <v>East</v>
      </c>
      <c r="AA14" t="str">
        <v>Basic</v>
      </c>
      <c r="AB14">
        <v>44526</v>
      </c>
      <c r="AC14">
        <v>4499.95</v>
      </c>
    </row>
    <row r="15" spans="1:29" x14ac:dyDescent="0.3">
      <c r="A15" t="s">
        <v>74</v>
      </c>
      <c r="B15" s="3">
        <v>45409</v>
      </c>
      <c r="C15" t="s">
        <v>75</v>
      </c>
      <c r="D15" t="s">
        <v>76</v>
      </c>
      <c r="E15" t="s">
        <v>31</v>
      </c>
      <c r="F15" t="s">
        <v>32</v>
      </c>
      <c r="G15" t="s">
        <v>33</v>
      </c>
      <c r="H15">
        <v>3</v>
      </c>
      <c r="I15">
        <v>59.99</v>
      </c>
      <c r="J15" t="s">
        <v>26</v>
      </c>
      <c r="K15" t="s">
        <v>40</v>
      </c>
      <c r="L15" t="s">
        <v>36</v>
      </c>
      <c r="M15" s="3">
        <v>45351</v>
      </c>
      <c r="N15">
        <v>179.97</v>
      </c>
      <c r="P15" t="str">
        <v>TRX0177</v>
      </c>
      <c r="Q15">
        <v>45559</v>
      </c>
      <c r="R15" t="str">
        <v>CUST032</v>
      </c>
      <c r="S15" t="str">
        <v>Sandra Phillips</v>
      </c>
      <c r="T15" t="str">
        <v>P001</v>
      </c>
      <c r="U15" t="str">
        <v>Laptop</v>
      </c>
      <c r="V15" t="str">
        <v>Electronics</v>
      </c>
      <c r="W15">
        <v>3</v>
      </c>
      <c r="X15">
        <v>899.99</v>
      </c>
      <c r="Y15" t="str">
        <v>Credit Card</v>
      </c>
      <c r="Z15" t="str">
        <v>North</v>
      </c>
      <c r="AA15" t="str">
        <v>Standard</v>
      </c>
      <c r="AB15">
        <v>45157</v>
      </c>
      <c r="AC15">
        <v>2699.97</v>
      </c>
    </row>
    <row r="16" spans="1:29" x14ac:dyDescent="0.3">
      <c r="A16" t="s">
        <v>77</v>
      </c>
      <c r="B16" s="3">
        <v>45409</v>
      </c>
      <c r="C16" t="s">
        <v>78</v>
      </c>
      <c r="D16" t="s">
        <v>79</v>
      </c>
      <c r="E16" t="s">
        <v>80</v>
      </c>
      <c r="F16" t="s">
        <v>81</v>
      </c>
      <c r="G16" t="s">
        <v>19</v>
      </c>
      <c r="H16">
        <v>3</v>
      </c>
      <c r="I16">
        <v>699.99</v>
      </c>
      <c r="J16" t="s">
        <v>26</v>
      </c>
      <c r="K16" t="s">
        <v>50</v>
      </c>
      <c r="L16" t="s">
        <v>22</v>
      </c>
      <c r="M16" s="3">
        <v>44577</v>
      </c>
      <c r="N16">
        <v>2099.9699999999998</v>
      </c>
      <c r="P16" t="str">
        <v>TRX0158</v>
      </c>
      <c r="Q16">
        <v>45579</v>
      </c>
      <c r="R16" t="str">
        <v>CUST027</v>
      </c>
      <c r="S16" t="str">
        <v>George Adams</v>
      </c>
      <c r="T16" t="str">
        <v>P001</v>
      </c>
      <c r="U16" t="str">
        <v>Laptop</v>
      </c>
      <c r="V16" t="str">
        <v>Electronics</v>
      </c>
      <c r="W16">
        <v>3</v>
      </c>
      <c r="X16">
        <v>899.99</v>
      </c>
      <c r="Y16" t="str">
        <v>PayPal</v>
      </c>
      <c r="Z16" t="str">
        <v>West</v>
      </c>
      <c r="AA16" t="str">
        <v>Basic</v>
      </c>
      <c r="AB16">
        <v>45215</v>
      </c>
      <c r="AC16">
        <v>2699.97</v>
      </c>
    </row>
    <row r="17" spans="1:29" x14ac:dyDescent="0.3">
      <c r="A17" t="s">
        <v>82</v>
      </c>
      <c r="B17" s="3">
        <v>45409</v>
      </c>
      <c r="C17" t="s">
        <v>83</v>
      </c>
      <c r="D17" t="s">
        <v>84</v>
      </c>
      <c r="E17" t="s">
        <v>61</v>
      </c>
      <c r="F17" t="s">
        <v>62</v>
      </c>
      <c r="G17" t="s">
        <v>19</v>
      </c>
      <c r="H17">
        <v>1</v>
      </c>
      <c r="I17">
        <v>899.99</v>
      </c>
      <c r="J17" t="s">
        <v>57</v>
      </c>
      <c r="K17" t="s">
        <v>40</v>
      </c>
      <c r="L17" t="s">
        <v>36</v>
      </c>
      <c r="M17" s="3">
        <v>44920</v>
      </c>
      <c r="N17">
        <v>899.99</v>
      </c>
      <c r="P17" t="str">
        <v>TRX0189</v>
      </c>
      <c r="Q17">
        <v>45581</v>
      </c>
      <c r="R17" t="str">
        <v>CUST040</v>
      </c>
      <c r="S17" t="str">
        <v>Sharon Butler</v>
      </c>
      <c r="T17" t="str">
        <v>P001</v>
      </c>
      <c r="U17" t="str">
        <v>Laptop</v>
      </c>
      <c r="V17" t="str">
        <v>Electronics</v>
      </c>
      <c r="W17">
        <v>1</v>
      </c>
      <c r="X17">
        <v>899.99</v>
      </c>
      <c r="Y17" t="str">
        <v>Credit Card</v>
      </c>
      <c r="Z17" t="str">
        <v>East</v>
      </c>
      <c r="AA17" t="str">
        <v>Standard</v>
      </c>
      <c r="AB17">
        <v>45369</v>
      </c>
      <c r="AC17">
        <v>899.99</v>
      </c>
    </row>
    <row r="18" spans="1:29" x14ac:dyDescent="0.3">
      <c r="A18" t="s">
        <v>85</v>
      </c>
      <c r="B18" s="3">
        <v>45410</v>
      </c>
      <c r="C18" t="s">
        <v>86</v>
      </c>
      <c r="D18" t="s">
        <v>87</v>
      </c>
      <c r="E18" t="s">
        <v>44</v>
      </c>
      <c r="F18" t="s">
        <v>45</v>
      </c>
      <c r="G18" t="s">
        <v>46</v>
      </c>
      <c r="H18">
        <v>4</v>
      </c>
      <c r="I18">
        <v>149.99</v>
      </c>
      <c r="J18" t="s">
        <v>57</v>
      </c>
      <c r="K18" t="s">
        <v>40</v>
      </c>
      <c r="L18" t="s">
        <v>27</v>
      </c>
      <c r="M18" s="3">
        <v>45374</v>
      </c>
      <c r="N18">
        <v>599.96</v>
      </c>
      <c r="P18" t="str">
        <v>TRX0032</v>
      </c>
      <c r="Q18">
        <v>45638</v>
      </c>
      <c r="R18" t="str">
        <v>CUST041</v>
      </c>
      <c r="S18" t="str">
        <v>Peter Richardson</v>
      </c>
      <c r="T18" t="str">
        <v>P001</v>
      </c>
      <c r="U18" t="str">
        <v>Laptop</v>
      </c>
      <c r="V18" t="str">
        <v>Electronics</v>
      </c>
      <c r="W18">
        <v>2</v>
      </c>
      <c r="X18">
        <v>899.99</v>
      </c>
      <c r="Y18" t="str">
        <v>Cash</v>
      </c>
      <c r="Z18" t="str">
        <v>North</v>
      </c>
      <c r="AA18" t="str">
        <v>Basic</v>
      </c>
      <c r="AB18">
        <v>44406</v>
      </c>
      <c r="AC18">
        <v>1799.98</v>
      </c>
    </row>
    <row r="19" spans="1:29" x14ac:dyDescent="0.3">
      <c r="A19" t="s">
        <v>88</v>
      </c>
      <c r="B19" s="3">
        <v>45410</v>
      </c>
      <c r="C19" t="s">
        <v>89</v>
      </c>
      <c r="D19" t="s">
        <v>90</v>
      </c>
      <c r="E19" t="s">
        <v>80</v>
      </c>
      <c r="F19" t="s">
        <v>81</v>
      </c>
      <c r="G19" t="s">
        <v>19</v>
      </c>
      <c r="H19">
        <v>2</v>
      </c>
      <c r="I19">
        <v>699.99</v>
      </c>
      <c r="J19" t="s">
        <v>20</v>
      </c>
      <c r="K19" t="s">
        <v>40</v>
      </c>
      <c r="L19" t="s">
        <v>22</v>
      </c>
      <c r="M19" s="3">
        <v>44781</v>
      </c>
      <c r="N19">
        <v>1399.98</v>
      </c>
      <c r="P19" t="str">
        <v>TRX0163</v>
      </c>
      <c r="Q19">
        <v>45645</v>
      </c>
      <c r="R19" t="str">
        <v>CUST019</v>
      </c>
      <c r="S19" t="str">
        <v>Daniel King</v>
      </c>
      <c r="T19" t="str">
        <v>P001</v>
      </c>
      <c r="U19" t="str">
        <v>Laptop</v>
      </c>
      <c r="V19" t="str">
        <v>Electronics</v>
      </c>
      <c r="W19">
        <v>5</v>
      </c>
      <c r="X19">
        <v>899.99</v>
      </c>
      <c r="Y19" t="str">
        <v>Debit Card</v>
      </c>
      <c r="Z19" t="str">
        <v>East</v>
      </c>
      <c r="AA19" t="str">
        <v>Standard</v>
      </c>
      <c r="AB19">
        <v>44625</v>
      </c>
      <c r="AC19">
        <v>4499.95</v>
      </c>
    </row>
    <row r="20" spans="1:29" x14ac:dyDescent="0.3">
      <c r="A20" t="s">
        <v>91</v>
      </c>
      <c r="B20" s="3">
        <v>45410</v>
      </c>
      <c r="C20" t="s">
        <v>86</v>
      </c>
      <c r="D20" t="s">
        <v>87</v>
      </c>
      <c r="E20" t="s">
        <v>61</v>
      </c>
      <c r="F20" t="s">
        <v>62</v>
      </c>
      <c r="G20" t="s">
        <v>19</v>
      </c>
      <c r="H20">
        <v>4</v>
      </c>
      <c r="I20">
        <v>899.99</v>
      </c>
      <c r="J20" t="s">
        <v>26</v>
      </c>
      <c r="K20" t="s">
        <v>50</v>
      </c>
      <c r="L20" t="s">
        <v>36</v>
      </c>
      <c r="M20" s="3">
        <v>45327</v>
      </c>
      <c r="N20">
        <v>3599.96</v>
      </c>
      <c r="P20" t="str">
        <v>TRX0207</v>
      </c>
      <c r="Q20">
        <v>45657</v>
      </c>
      <c r="R20" t="str">
        <v>CUST025</v>
      </c>
      <c r="S20" t="str">
        <v>Mark Carter</v>
      </c>
      <c r="T20" t="str">
        <v>P001</v>
      </c>
      <c r="U20" t="str">
        <v>Laptop</v>
      </c>
      <c r="V20" t="str">
        <v>Electronics</v>
      </c>
      <c r="W20">
        <v>1</v>
      </c>
      <c r="X20">
        <v>899.99</v>
      </c>
      <c r="Y20" t="str">
        <v>PayPal</v>
      </c>
      <c r="Z20" t="str">
        <v>North</v>
      </c>
      <c r="AA20" t="str">
        <v>Premium</v>
      </c>
      <c r="AB20">
        <v>45050</v>
      </c>
      <c r="AC20">
        <v>899.99</v>
      </c>
    </row>
    <row r="21" spans="1:29" x14ac:dyDescent="0.3">
      <c r="A21" t="s">
        <v>92</v>
      </c>
      <c r="B21" s="3">
        <v>45410</v>
      </c>
      <c r="C21" t="s">
        <v>93</v>
      </c>
      <c r="D21" t="s">
        <v>94</v>
      </c>
      <c r="E21" t="s">
        <v>17</v>
      </c>
      <c r="F21" t="s">
        <v>18</v>
      </c>
      <c r="G21" t="s">
        <v>19</v>
      </c>
      <c r="H21">
        <v>3</v>
      </c>
      <c r="I21">
        <v>249.99</v>
      </c>
      <c r="J21" t="s">
        <v>26</v>
      </c>
      <c r="K21" t="s">
        <v>40</v>
      </c>
      <c r="L21" t="s">
        <v>27</v>
      </c>
      <c r="M21" s="3">
        <v>45224</v>
      </c>
      <c r="N21">
        <v>749.97</v>
      </c>
      <c r="P21" t="str">
        <v>TRX0026</v>
      </c>
      <c r="Q21">
        <v>45661</v>
      </c>
      <c r="R21" t="str">
        <v>CUST037</v>
      </c>
      <c r="S21" t="str">
        <v>Arthur Edwards</v>
      </c>
      <c r="T21" t="str">
        <v>P001</v>
      </c>
      <c r="U21" t="str">
        <v>Laptop</v>
      </c>
      <c r="V21" t="str">
        <v>Electronics</v>
      </c>
      <c r="W21">
        <v>1</v>
      </c>
      <c r="X21">
        <v>899.99</v>
      </c>
      <c r="Y21" t="str">
        <v>PayPal</v>
      </c>
      <c r="Z21" t="str">
        <v>North</v>
      </c>
      <c r="AA21" t="str">
        <v>Standard</v>
      </c>
      <c r="AB21">
        <v>44752</v>
      </c>
      <c r="AC21">
        <v>899.99</v>
      </c>
    </row>
    <row r="22" spans="1:29" x14ac:dyDescent="0.3">
      <c r="A22" t="s">
        <v>95</v>
      </c>
      <c r="B22" s="3">
        <v>45412</v>
      </c>
      <c r="C22" t="s">
        <v>96</v>
      </c>
      <c r="D22" t="s">
        <v>97</v>
      </c>
      <c r="E22" t="s">
        <v>80</v>
      </c>
      <c r="F22" t="s">
        <v>81</v>
      </c>
      <c r="G22" t="s">
        <v>19</v>
      </c>
      <c r="H22">
        <v>5</v>
      </c>
      <c r="I22">
        <v>699.99</v>
      </c>
      <c r="J22" t="s">
        <v>20</v>
      </c>
      <c r="K22" t="s">
        <v>50</v>
      </c>
      <c r="L22" t="s">
        <v>22</v>
      </c>
      <c r="M22" s="3">
        <v>45167</v>
      </c>
      <c r="N22">
        <v>3499.95</v>
      </c>
      <c r="P22" t="str">
        <v>TRX0030</v>
      </c>
      <c r="Q22">
        <v>45686</v>
      </c>
      <c r="R22" t="str">
        <v>CUST011</v>
      </c>
      <c r="S22" t="str">
        <v>William White</v>
      </c>
      <c r="T22" t="str">
        <v>P001</v>
      </c>
      <c r="U22" t="str">
        <v>Laptop</v>
      </c>
      <c r="V22" t="str">
        <v>Electronics</v>
      </c>
      <c r="W22">
        <v>4</v>
      </c>
      <c r="X22">
        <v>899.99</v>
      </c>
      <c r="Y22" t="str">
        <v>PayPal</v>
      </c>
      <c r="Z22" t="str">
        <v>Central</v>
      </c>
      <c r="AA22" t="str">
        <v>Basic</v>
      </c>
      <c r="AB22">
        <v>44734</v>
      </c>
      <c r="AC22">
        <v>3599.96</v>
      </c>
    </row>
    <row r="23" spans="1:29" x14ac:dyDescent="0.3">
      <c r="A23" t="s">
        <v>98</v>
      </c>
      <c r="B23" s="3">
        <v>45413</v>
      </c>
      <c r="C23" t="s">
        <v>99</v>
      </c>
      <c r="D23" t="s">
        <v>100</v>
      </c>
      <c r="E23" t="s">
        <v>80</v>
      </c>
      <c r="F23" t="s">
        <v>81</v>
      </c>
      <c r="G23" t="s">
        <v>19</v>
      </c>
      <c r="H23">
        <v>4</v>
      </c>
      <c r="I23">
        <v>699.99</v>
      </c>
      <c r="J23" t="s">
        <v>20</v>
      </c>
      <c r="K23" t="s">
        <v>63</v>
      </c>
      <c r="L23" t="s">
        <v>36</v>
      </c>
      <c r="M23" s="3">
        <v>44409</v>
      </c>
      <c r="N23">
        <v>2799.96</v>
      </c>
      <c r="P23" t="str">
        <v>TRX0214</v>
      </c>
      <c r="Q23">
        <v>45708</v>
      </c>
      <c r="R23" t="str">
        <v>CUST018</v>
      </c>
      <c r="S23" t="str">
        <v>Barbara Young</v>
      </c>
      <c r="T23" t="str">
        <v>P001</v>
      </c>
      <c r="U23" t="str">
        <v>Laptop</v>
      </c>
      <c r="V23" t="str">
        <v>Electronics</v>
      </c>
      <c r="W23">
        <v>3</v>
      </c>
      <c r="X23">
        <v>899.99</v>
      </c>
      <c r="Y23" t="str">
        <v>Cash</v>
      </c>
      <c r="Z23" t="str">
        <v>East</v>
      </c>
      <c r="AA23" t="str">
        <v>Standard</v>
      </c>
      <c r="AB23">
        <v>44613</v>
      </c>
      <c r="AC23">
        <v>2699.97</v>
      </c>
    </row>
    <row r="24" spans="1:29" x14ac:dyDescent="0.3">
      <c r="A24" t="s">
        <v>101</v>
      </c>
      <c r="B24" s="3">
        <v>45415</v>
      </c>
      <c r="C24" t="s">
        <v>102</v>
      </c>
      <c r="D24" t="s">
        <v>103</v>
      </c>
      <c r="E24" t="s">
        <v>17</v>
      </c>
      <c r="F24" t="s">
        <v>18</v>
      </c>
      <c r="G24" t="s">
        <v>19</v>
      </c>
      <c r="H24">
        <v>4</v>
      </c>
      <c r="I24">
        <v>249.99</v>
      </c>
      <c r="J24" t="s">
        <v>34</v>
      </c>
      <c r="K24" t="s">
        <v>40</v>
      </c>
      <c r="L24" t="s">
        <v>36</v>
      </c>
      <c r="M24" s="3">
        <v>44468</v>
      </c>
      <c r="N24">
        <v>999.96</v>
      </c>
      <c r="P24" t="str">
        <v>TRX0016</v>
      </c>
      <c r="Q24">
        <v>45724</v>
      </c>
      <c r="R24" t="str">
        <v>CUST035</v>
      </c>
      <c r="S24" t="str">
        <v>Harry Morgan</v>
      </c>
      <c r="T24" t="str">
        <v>P001</v>
      </c>
      <c r="U24" t="str">
        <v>Laptop</v>
      </c>
      <c r="V24" t="str">
        <v>Electronics</v>
      </c>
      <c r="W24">
        <v>5</v>
      </c>
      <c r="X24">
        <v>899.99</v>
      </c>
      <c r="Y24" t="str">
        <v>PayPal</v>
      </c>
      <c r="Z24" t="str">
        <v>East</v>
      </c>
      <c r="AA24" t="str">
        <v>Premium</v>
      </c>
      <c r="AB24">
        <v>45389</v>
      </c>
      <c r="AC24">
        <v>4499.95</v>
      </c>
    </row>
    <row r="25" spans="1:29" x14ac:dyDescent="0.3">
      <c r="A25" t="s">
        <v>104</v>
      </c>
      <c r="B25" s="3">
        <v>45416</v>
      </c>
      <c r="C25" t="s">
        <v>86</v>
      </c>
      <c r="D25" t="s">
        <v>87</v>
      </c>
      <c r="E25" t="s">
        <v>105</v>
      </c>
      <c r="F25" t="s">
        <v>106</v>
      </c>
      <c r="G25" t="s">
        <v>46</v>
      </c>
      <c r="H25">
        <v>4</v>
      </c>
      <c r="I25">
        <v>299.99</v>
      </c>
      <c r="J25" t="s">
        <v>20</v>
      </c>
      <c r="K25" t="s">
        <v>50</v>
      </c>
      <c r="L25" t="s">
        <v>27</v>
      </c>
      <c r="M25" s="3">
        <v>44716</v>
      </c>
      <c r="N25">
        <v>1199.96</v>
      </c>
      <c r="P25" t="str">
        <v>TRX0124</v>
      </c>
      <c r="Q25">
        <v>45737</v>
      </c>
      <c r="R25" t="str">
        <v>CUST040</v>
      </c>
      <c r="S25" t="str">
        <v>Sharon Butler</v>
      </c>
      <c r="T25" t="str">
        <v>P001</v>
      </c>
      <c r="U25" t="str">
        <v>Laptop</v>
      </c>
      <c r="V25" t="str">
        <v>Electronics</v>
      </c>
      <c r="W25">
        <v>3</v>
      </c>
      <c r="X25">
        <v>899.99</v>
      </c>
      <c r="Y25" t="str">
        <v>Debit Card</v>
      </c>
      <c r="Z25" t="str">
        <v>North</v>
      </c>
      <c r="AA25" t="str">
        <v>Premium</v>
      </c>
      <c r="AB25">
        <v>44876</v>
      </c>
      <c r="AC25">
        <v>2699.97</v>
      </c>
    </row>
    <row r="26" spans="1:29" x14ac:dyDescent="0.3">
      <c r="A26" t="s">
        <v>107</v>
      </c>
      <c r="B26" s="3">
        <v>45422</v>
      </c>
      <c r="C26" t="s">
        <v>108</v>
      </c>
      <c r="D26" t="s">
        <v>109</v>
      </c>
      <c r="E26" t="s">
        <v>17</v>
      </c>
      <c r="F26" t="s">
        <v>18</v>
      </c>
      <c r="G26" t="s">
        <v>19</v>
      </c>
      <c r="H26">
        <v>5</v>
      </c>
      <c r="I26">
        <v>249.99</v>
      </c>
      <c r="J26" t="s">
        <v>26</v>
      </c>
      <c r="K26" t="s">
        <v>50</v>
      </c>
      <c r="L26" t="s">
        <v>36</v>
      </c>
      <c r="M26" s="3">
        <v>44525</v>
      </c>
      <c r="N26">
        <v>1249.95</v>
      </c>
      <c r="P26" t="str">
        <v>TRX0013</v>
      </c>
      <c r="Q26">
        <v>45737</v>
      </c>
      <c r="R26" t="str">
        <v>CUST024</v>
      </c>
      <c r="S26" t="str">
        <v>Dorothy Nelson</v>
      </c>
      <c r="T26" t="str">
        <v>P001</v>
      </c>
      <c r="U26" t="str">
        <v>Laptop</v>
      </c>
      <c r="V26" t="str">
        <v>Electronics</v>
      </c>
      <c r="W26">
        <v>3</v>
      </c>
      <c r="X26">
        <v>899.99</v>
      </c>
      <c r="Y26" t="str">
        <v>PayPal</v>
      </c>
      <c r="Z26" t="str">
        <v>North</v>
      </c>
      <c r="AA26" t="str">
        <v>Basic</v>
      </c>
      <c r="AB26">
        <v>44975</v>
      </c>
      <c r="AC26">
        <v>2699.97</v>
      </c>
    </row>
    <row r="27" spans="1:29" x14ac:dyDescent="0.3">
      <c r="A27" t="s">
        <v>110</v>
      </c>
      <c r="B27" s="3">
        <v>45424</v>
      </c>
      <c r="C27" t="s">
        <v>68</v>
      </c>
      <c r="D27" t="s">
        <v>69</v>
      </c>
      <c r="E27" t="s">
        <v>105</v>
      </c>
      <c r="F27" t="s">
        <v>106</v>
      </c>
      <c r="G27" t="s">
        <v>46</v>
      </c>
      <c r="H27">
        <v>5</v>
      </c>
      <c r="I27">
        <v>299.99</v>
      </c>
      <c r="J27" t="s">
        <v>34</v>
      </c>
      <c r="K27" t="s">
        <v>63</v>
      </c>
      <c r="L27" t="s">
        <v>22</v>
      </c>
      <c r="M27" s="3">
        <v>45168</v>
      </c>
      <c r="N27">
        <v>1499.95</v>
      </c>
      <c r="P27" t="str">
        <v>TRX0144</v>
      </c>
      <c r="Q27">
        <v>45749</v>
      </c>
      <c r="R27" t="str">
        <v>CUST029</v>
      </c>
      <c r="S27" t="str">
        <v>Edward Mitchell</v>
      </c>
      <c r="T27" t="str">
        <v>P001</v>
      </c>
      <c r="U27" t="str">
        <v>Laptop</v>
      </c>
      <c r="V27" t="str">
        <v>Electronics</v>
      </c>
      <c r="W27">
        <v>3</v>
      </c>
      <c r="X27">
        <v>899.99</v>
      </c>
      <c r="Y27" t="str">
        <v>Cash</v>
      </c>
      <c r="Z27" t="str">
        <v>Central</v>
      </c>
      <c r="AA27" t="str">
        <v>Standard</v>
      </c>
      <c r="AB27">
        <v>44953</v>
      </c>
      <c r="AC27">
        <v>2699.97</v>
      </c>
    </row>
    <row r="28" spans="1:29" x14ac:dyDescent="0.3">
      <c r="A28" t="s">
        <v>111</v>
      </c>
      <c r="B28" s="3">
        <v>45424</v>
      </c>
      <c r="C28" t="s">
        <v>112</v>
      </c>
      <c r="D28" t="s">
        <v>113</v>
      </c>
      <c r="E28" t="s">
        <v>114</v>
      </c>
      <c r="F28" t="s">
        <v>115</v>
      </c>
      <c r="G28" t="s">
        <v>33</v>
      </c>
      <c r="H28">
        <v>3</v>
      </c>
      <c r="I28">
        <v>79.989999999999995</v>
      </c>
      <c r="J28" t="s">
        <v>34</v>
      </c>
      <c r="K28" t="s">
        <v>63</v>
      </c>
      <c r="L28" t="s">
        <v>27</v>
      </c>
      <c r="M28" s="3">
        <v>45012</v>
      </c>
      <c r="N28">
        <v>239.97</v>
      </c>
    </row>
    <row r="29" spans="1:29" x14ac:dyDescent="0.3">
      <c r="A29" t="s">
        <v>116</v>
      </c>
      <c r="B29" s="3">
        <v>45424</v>
      </c>
      <c r="C29" t="s">
        <v>99</v>
      </c>
      <c r="D29" t="s">
        <v>100</v>
      </c>
      <c r="E29" t="s">
        <v>117</v>
      </c>
      <c r="F29" t="s">
        <v>118</v>
      </c>
      <c r="G29" t="s">
        <v>19</v>
      </c>
      <c r="H29">
        <v>5</v>
      </c>
      <c r="I29">
        <v>89.99</v>
      </c>
      <c r="J29" t="s">
        <v>20</v>
      </c>
      <c r="K29" t="s">
        <v>40</v>
      </c>
      <c r="L29" t="s">
        <v>27</v>
      </c>
      <c r="M29" s="3">
        <v>44919</v>
      </c>
      <c r="N29">
        <v>449.95</v>
      </c>
    </row>
    <row r="30" spans="1:29" x14ac:dyDescent="0.3">
      <c r="A30" t="s">
        <v>119</v>
      </c>
      <c r="B30" s="3">
        <v>45425</v>
      </c>
      <c r="C30" t="s">
        <v>120</v>
      </c>
      <c r="D30" t="s">
        <v>121</v>
      </c>
      <c r="E30" t="s">
        <v>31</v>
      </c>
      <c r="F30" t="s">
        <v>32</v>
      </c>
      <c r="G30" t="s">
        <v>33</v>
      </c>
      <c r="H30">
        <v>2</v>
      </c>
      <c r="I30">
        <v>59.99</v>
      </c>
      <c r="J30" t="s">
        <v>57</v>
      </c>
      <c r="K30" t="s">
        <v>21</v>
      </c>
      <c r="L30" t="s">
        <v>36</v>
      </c>
      <c r="M30" s="3">
        <v>45214</v>
      </c>
      <c r="N30">
        <v>119.98</v>
      </c>
    </row>
    <row r="31" spans="1:29" x14ac:dyDescent="0.3">
      <c r="A31" t="s">
        <v>122</v>
      </c>
      <c r="B31" s="3">
        <v>45427</v>
      </c>
      <c r="C31" t="s">
        <v>123</v>
      </c>
      <c r="D31" t="s">
        <v>124</v>
      </c>
      <c r="E31" t="s">
        <v>31</v>
      </c>
      <c r="F31" t="s">
        <v>32</v>
      </c>
      <c r="G31" t="s">
        <v>33</v>
      </c>
      <c r="H31">
        <v>4</v>
      </c>
      <c r="I31">
        <v>59.99</v>
      </c>
      <c r="J31" t="s">
        <v>57</v>
      </c>
      <c r="K31" t="s">
        <v>63</v>
      </c>
      <c r="L31" t="s">
        <v>36</v>
      </c>
      <c r="M31" s="3">
        <v>44867</v>
      </c>
      <c r="N31">
        <v>239.96</v>
      </c>
    </row>
    <row r="32" spans="1:29" x14ac:dyDescent="0.3">
      <c r="A32" t="s">
        <v>125</v>
      </c>
      <c r="B32" s="3">
        <v>45427</v>
      </c>
      <c r="C32" t="s">
        <v>55</v>
      </c>
      <c r="D32" t="s">
        <v>56</v>
      </c>
      <c r="E32" t="s">
        <v>126</v>
      </c>
      <c r="F32" t="s">
        <v>127</v>
      </c>
      <c r="G32" t="s">
        <v>46</v>
      </c>
      <c r="H32">
        <v>5</v>
      </c>
      <c r="I32">
        <v>199.99</v>
      </c>
      <c r="J32" t="s">
        <v>20</v>
      </c>
      <c r="K32" t="s">
        <v>35</v>
      </c>
      <c r="L32" t="s">
        <v>36</v>
      </c>
      <c r="M32" s="3">
        <v>44412</v>
      </c>
      <c r="N32">
        <v>999.95</v>
      </c>
    </row>
    <row r="33" spans="1:14" x14ac:dyDescent="0.3">
      <c r="A33" t="s">
        <v>128</v>
      </c>
      <c r="B33" s="3">
        <v>45428</v>
      </c>
      <c r="C33" t="s">
        <v>129</v>
      </c>
      <c r="D33" t="s">
        <v>130</v>
      </c>
      <c r="E33" t="s">
        <v>44</v>
      </c>
      <c r="F33" t="s">
        <v>45</v>
      </c>
      <c r="G33" t="s">
        <v>46</v>
      </c>
      <c r="H33">
        <v>2</v>
      </c>
      <c r="I33">
        <v>149.99</v>
      </c>
      <c r="J33" t="s">
        <v>26</v>
      </c>
      <c r="K33" t="s">
        <v>50</v>
      </c>
      <c r="L33" t="s">
        <v>22</v>
      </c>
      <c r="M33" s="3">
        <v>44823</v>
      </c>
      <c r="N33">
        <v>299.98</v>
      </c>
    </row>
    <row r="34" spans="1:14" x14ac:dyDescent="0.3">
      <c r="A34" t="s">
        <v>131</v>
      </c>
      <c r="B34" s="3">
        <v>45430</v>
      </c>
      <c r="C34" t="s">
        <v>132</v>
      </c>
      <c r="D34" t="s">
        <v>133</v>
      </c>
      <c r="E34" t="s">
        <v>44</v>
      </c>
      <c r="F34" t="s">
        <v>45</v>
      </c>
      <c r="G34" t="s">
        <v>46</v>
      </c>
      <c r="H34">
        <v>3</v>
      </c>
      <c r="I34">
        <v>149.99</v>
      </c>
      <c r="J34" t="s">
        <v>26</v>
      </c>
      <c r="K34" t="s">
        <v>50</v>
      </c>
      <c r="L34" t="s">
        <v>27</v>
      </c>
      <c r="M34" s="3">
        <v>45068</v>
      </c>
      <c r="N34">
        <v>449.97</v>
      </c>
    </row>
    <row r="35" spans="1:14" x14ac:dyDescent="0.3">
      <c r="A35" t="s">
        <v>134</v>
      </c>
      <c r="B35" s="3">
        <v>45432</v>
      </c>
      <c r="C35" t="s">
        <v>29</v>
      </c>
      <c r="D35" t="s">
        <v>30</v>
      </c>
      <c r="E35" t="s">
        <v>61</v>
      </c>
      <c r="F35" t="s">
        <v>62</v>
      </c>
      <c r="G35" t="s">
        <v>19</v>
      </c>
      <c r="H35">
        <v>1</v>
      </c>
      <c r="I35">
        <v>899.99</v>
      </c>
      <c r="J35" t="s">
        <v>26</v>
      </c>
      <c r="K35" t="s">
        <v>50</v>
      </c>
      <c r="L35" t="s">
        <v>27</v>
      </c>
      <c r="M35" s="3">
        <v>44578</v>
      </c>
      <c r="N35">
        <v>899.99</v>
      </c>
    </row>
    <row r="36" spans="1:14" x14ac:dyDescent="0.3">
      <c r="A36" t="s">
        <v>135</v>
      </c>
      <c r="B36" s="3">
        <v>45434</v>
      </c>
      <c r="C36" t="s">
        <v>99</v>
      </c>
      <c r="D36" t="s">
        <v>100</v>
      </c>
      <c r="E36" t="s">
        <v>105</v>
      </c>
      <c r="F36" t="s">
        <v>106</v>
      </c>
      <c r="G36" t="s">
        <v>46</v>
      </c>
      <c r="H36">
        <v>3</v>
      </c>
      <c r="I36">
        <v>299.99</v>
      </c>
      <c r="J36" t="s">
        <v>26</v>
      </c>
      <c r="K36" t="s">
        <v>63</v>
      </c>
      <c r="L36" t="s">
        <v>22</v>
      </c>
      <c r="M36" s="3">
        <v>44824</v>
      </c>
      <c r="N36">
        <v>899.97</v>
      </c>
    </row>
    <row r="37" spans="1:14" x14ac:dyDescent="0.3">
      <c r="A37" t="s">
        <v>136</v>
      </c>
      <c r="B37" s="3">
        <v>45435</v>
      </c>
      <c r="C37" t="s">
        <v>129</v>
      </c>
      <c r="D37" t="s">
        <v>130</v>
      </c>
      <c r="E37" t="s">
        <v>114</v>
      </c>
      <c r="F37" t="s">
        <v>115</v>
      </c>
      <c r="G37" t="s">
        <v>33</v>
      </c>
      <c r="H37">
        <v>3</v>
      </c>
      <c r="I37">
        <v>79.989999999999995</v>
      </c>
      <c r="J37" t="s">
        <v>20</v>
      </c>
      <c r="K37" t="s">
        <v>35</v>
      </c>
      <c r="L37" t="s">
        <v>22</v>
      </c>
      <c r="M37" s="3">
        <v>45046</v>
      </c>
      <c r="N37">
        <v>239.97</v>
      </c>
    </row>
    <row r="38" spans="1:14" x14ac:dyDescent="0.3">
      <c r="A38" t="s">
        <v>137</v>
      </c>
      <c r="B38" s="3">
        <v>45438</v>
      </c>
      <c r="C38" t="s">
        <v>138</v>
      </c>
      <c r="D38" t="s">
        <v>139</v>
      </c>
      <c r="E38" t="s">
        <v>126</v>
      </c>
      <c r="F38" t="s">
        <v>127</v>
      </c>
      <c r="G38" t="s">
        <v>46</v>
      </c>
      <c r="H38">
        <v>3</v>
      </c>
      <c r="I38">
        <v>199.99</v>
      </c>
      <c r="J38" t="s">
        <v>26</v>
      </c>
      <c r="K38" t="s">
        <v>40</v>
      </c>
      <c r="L38" t="s">
        <v>27</v>
      </c>
      <c r="M38" s="3">
        <v>45292</v>
      </c>
      <c r="N38">
        <v>599.97</v>
      </c>
    </row>
    <row r="39" spans="1:14" x14ac:dyDescent="0.3">
      <c r="A39" t="s">
        <v>140</v>
      </c>
      <c r="B39" s="3">
        <v>45440</v>
      </c>
      <c r="C39" t="s">
        <v>141</v>
      </c>
      <c r="D39" t="s">
        <v>142</v>
      </c>
      <c r="E39" t="s">
        <v>80</v>
      </c>
      <c r="F39" t="s">
        <v>81</v>
      </c>
      <c r="G39" t="s">
        <v>19</v>
      </c>
      <c r="H39">
        <v>5</v>
      </c>
      <c r="I39">
        <v>699.99</v>
      </c>
      <c r="J39" t="s">
        <v>34</v>
      </c>
      <c r="K39" t="s">
        <v>50</v>
      </c>
      <c r="L39" t="s">
        <v>36</v>
      </c>
      <c r="M39" s="3">
        <v>44407</v>
      </c>
      <c r="N39">
        <v>3499.95</v>
      </c>
    </row>
    <row r="40" spans="1:14" x14ac:dyDescent="0.3">
      <c r="A40" t="s">
        <v>143</v>
      </c>
      <c r="B40" s="3">
        <v>45441</v>
      </c>
      <c r="C40" t="s">
        <v>144</v>
      </c>
      <c r="D40" t="s">
        <v>145</v>
      </c>
      <c r="E40" t="s">
        <v>117</v>
      </c>
      <c r="F40" t="s">
        <v>118</v>
      </c>
      <c r="G40" t="s">
        <v>19</v>
      </c>
      <c r="H40">
        <v>3</v>
      </c>
      <c r="I40">
        <v>89.99</v>
      </c>
      <c r="J40" t="s">
        <v>34</v>
      </c>
      <c r="K40" t="s">
        <v>21</v>
      </c>
      <c r="L40" t="s">
        <v>27</v>
      </c>
      <c r="M40" s="3">
        <v>45120</v>
      </c>
      <c r="N40">
        <v>269.97000000000003</v>
      </c>
    </row>
    <row r="41" spans="1:14"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row>
    <row r="42" spans="1:14" x14ac:dyDescent="0.3">
      <c r="A42" t="s">
        <v>149</v>
      </c>
      <c r="B42" s="3">
        <v>45444</v>
      </c>
      <c r="C42" t="s">
        <v>150</v>
      </c>
      <c r="D42" t="s">
        <v>151</v>
      </c>
      <c r="E42" t="s">
        <v>31</v>
      </c>
      <c r="F42" t="s">
        <v>32</v>
      </c>
      <c r="G42" t="s">
        <v>33</v>
      </c>
      <c r="H42">
        <v>2</v>
      </c>
      <c r="I42">
        <v>59.99</v>
      </c>
      <c r="J42" t="s">
        <v>20</v>
      </c>
      <c r="K42" t="s">
        <v>50</v>
      </c>
      <c r="L42" t="s">
        <v>22</v>
      </c>
      <c r="M42" s="3">
        <v>45390</v>
      </c>
      <c r="N42">
        <v>119.98</v>
      </c>
    </row>
    <row r="43" spans="1:14" x14ac:dyDescent="0.3">
      <c r="A43" t="s">
        <v>152</v>
      </c>
      <c r="B43" s="3">
        <v>45444</v>
      </c>
      <c r="C43" t="s">
        <v>55</v>
      </c>
      <c r="D43" t="s">
        <v>56</v>
      </c>
      <c r="E43" t="s">
        <v>117</v>
      </c>
      <c r="F43" t="s">
        <v>118</v>
      </c>
      <c r="G43" t="s">
        <v>19</v>
      </c>
      <c r="H43">
        <v>1</v>
      </c>
      <c r="I43">
        <v>89.99</v>
      </c>
      <c r="J43" t="s">
        <v>20</v>
      </c>
      <c r="K43" t="s">
        <v>40</v>
      </c>
      <c r="L43" t="s">
        <v>22</v>
      </c>
      <c r="M43" s="3">
        <v>45141</v>
      </c>
      <c r="N43">
        <v>89.99</v>
      </c>
    </row>
    <row r="44" spans="1:14" x14ac:dyDescent="0.3">
      <c r="A44" t="s">
        <v>153</v>
      </c>
      <c r="B44" s="3">
        <v>45446</v>
      </c>
      <c r="C44" t="s">
        <v>154</v>
      </c>
      <c r="D44" t="s">
        <v>155</v>
      </c>
      <c r="E44" t="s">
        <v>117</v>
      </c>
      <c r="F44" t="s">
        <v>118</v>
      </c>
      <c r="G44" t="s">
        <v>19</v>
      </c>
      <c r="H44">
        <v>5</v>
      </c>
      <c r="I44">
        <v>89.99</v>
      </c>
      <c r="J44" t="s">
        <v>26</v>
      </c>
      <c r="K44" t="s">
        <v>63</v>
      </c>
      <c r="L44" t="s">
        <v>36</v>
      </c>
      <c r="M44" s="3">
        <v>44587</v>
      </c>
      <c r="N44">
        <v>449.95</v>
      </c>
    </row>
    <row r="45" spans="1:14" x14ac:dyDescent="0.3">
      <c r="A45" t="s">
        <v>156</v>
      </c>
      <c r="B45" s="3">
        <v>45449</v>
      </c>
      <c r="C45" t="s">
        <v>24</v>
      </c>
      <c r="D45" t="s">
        <v>25</v>
      </c>
      <c r="E45" t="s">
        <v>17</v>
      </c>
      <c r="F45" t="s">
        <v>18</v>
      </c>
      <c r="G45" t="s">
        <v>19</v>
      </c>
      <c r="H45">
        <v>5</v>
      </c>
      <c r="I45">
        <v>249.99</v>
      </c>
      <c r="J45" t="s">
        <v>26</v>
      </c>
      <c r="K45" t="s">
        <v>63</v>
      </c>
      <c r="L45" t="s">
        <v>36</v>
      </c>
      <c r="M45" s="3">
        <v>44707</v>
      </c>
      <c r="N45">
        <v>1249.95</v>
      </c>
    </row>
    <row r="46" spans="1:14" x14ac:dyDescent="0.3">
      <c r="A46" t="s">
        <v>157</v>
      </c>
      <c r="B46" s="3">
        <v>45449</v>
      </c>
      <c r="C46" t="s">
        <v>158</v>
      </c>
      <c r="D46" t="s">
        <v>159</v>
      </c>
      <c r="E46" t="s">
        <v>117</v>
      </c>
      <c r="F46" t="s">
        <v>118</v>
      </c>
      <c r="G46" t="s">
        <v>19</v>
      </c>
      <c r="H46">
        <v>1</v>
      </c>
      <c r="I46">
        <v>89.99</v>
      </c>
      <c r="J46" t="s">
        <v>26</v>
      </c>
      <c r="K46" t="s">
        <v>35</v>
      </c>
      <c r="L46" t="s">
        <v>36</v>
      </c>
      <c r="M46" s="3">
        <v>44582</v>
      </c>
      <c r="N46">
        <v>89.99</v>
      </c>
    </row>
    <row r="47" spans="1:14" x14ac:dyDescent="0.3">
      <c r="A47" t="s">
        <v>160</v>
      </c>
      <c r="B47" s="3">
        <v>45450</v>
      </c>
      <c r="C47" t="s">
        <v>42</v>
      </c>
      <c r="D47" t="s">
        <v>43</v>
      </c>
      <c r="E47" t="s">
        <v>44</v>
      </c>
      <c r="F47" t="s">
        <v>45</v>
      </c>
      <c r="G47" t="s">
        <v>46</v>
      </c>
      <c r="H47">
        <v>2</v>
      </c>
      <c r="I47">
        <v>149.99</v>
      </c>
      <c r="J47" t="s">
        <v>20</v>
      </c>
      <c r="K47" t="s">
        <v>63</v>
      </c>
      <c r="L47" t="s">
        <v>27</v>
      </c>
      <c r="M47" s="3">
        <v>44645</v>
      </c>
      <c r="N47">
        <v>299.98</v>
      </c>
    </row>
    <row r="48" spans="1:14" x14ac:dyDescent="0.3">
      <c r="A48" t="s">
        <v>161</v>
      </c>
      <c r="B48" s="3">
        <v>45452</v>
      </c>
      <c r="C48" t="s">
        <v>162</v>
      </c>
      <c r="D48" t="s">
        <v>163</v>
      </c>
      <c r="E48" t="s">
        <v>31</v>
      </c>
      <c r="F48" t="s">
        <v>32</v>
      </c>
      <c r="G48" t="s">
        <v>33</v>
      </c>
      <c r="H48">
        <v>4</v>
      </c>
      <c r="I48">
        <v>59.99</v>
      </c>
      <c r="J48" t="s">
        <v>20</v>
      </c>
      <c r="K48" t="s">
        <v>63</v>
      </c>
      <c r="L48" t="s">
        <v>36</v>
      </c>
      <c r="M48" s="3">
        <v>44435</v>
      </c>
      <c r="N48">
        <v>239.96</v>
      </c>
    </row>
    <row r="49" spans="1:14" x14ac:dyDescent="0.3">
      <c r="A49" t="s">
        <v>164</v>
      </c>
      <c r="B49" s="3">
        <v>45456</v>
      </c>
      <c r="C49" t="s">
        <v>129</v>
      </c>
      <c r="D49" t="s">
        <v>130</v>
      </c>
      <c r="E49" t="s">
        <v>117</v>
      </c>
      <c r="F49" t="s">
        <v>118</v>
      </c>
      <c r="G49" t="s">
        <v>19</v>
      </c>
      <c r="H49">
        <v>5</v>
      </c>
      <c r="I49">
        <v>89.99</v>
      </c>
      <c r="J49" t="s">
        <v>20</v>
      </c>
      <c r="K49" t="s">
        <v>21</v>
      </c>
      <c r="L49" t="s">
        <v>27</v>
      </c>
      <c r="M49" s="3">
        <v>44579</v>
      </c>
      <c r="N49">
        <v>449.95</v>
      </c>
    </row>
    <row r="50" spans="1:14" x14ac:dyDescent="0.3">
      <c r="A50" t="s">
        <v>165</v>
      </c>
      <c r="B50" s="3">
        <v>45459</v>
      </c>
      <c r="C50" t="s">
        <v>99</v>
      </c>
      <c r="D50" t="s">
        <v>100</v>
      </c>
      <c r="E50" t="s">
        <v>117</v>
      </c>
      <c r="F50" t="s">
        <v>118</v>
      </c>
      <c r="G50" t="s">
        <v>19</v>
      </c>
      <c r="H50">
        <v>2</v>
      </c>
      <c r="I50">
        <v>89.99</v>
      </c>
      <c r="J50" t="s">
        <v>26</v>
      </c>
      <c r="K50" t="s">
        <v>35</v>
      </c>
      <c r="L50" t="s">
        <v>27</v>
      </c>
      <c r="M50" s="3">
        <v>44471</v>
      </c>
      <c r="N50">
        <v>179.98</v>
      </c>
    </row>
    <row r="51" spans="1:14" x14ac:dyDescent="0.3">
      <c r="A51" t="s">
        <v>166</v>
      </c>
      <c r="B51" s="3">
        <v>45459</v>
      </c>
      <c r="C51" t="s">
        <v>15</v>
      </c>
      <c r="D51" t="s">
        <v>16</v>
      </c>
      <c r="E51" t="s">
        <v>61</v>
      </c>
      <c r="F51" t="s">
        <v>62</v>
      </c>
      <c r="G51" t="s">
        <v>19</v>
      </c>
      <c r="H51">
        <v>5</v>
      </c>
      <c r="I51">
        <v>899.99</v>
      </c>
      <c r="J51" t="s">
        <v>26</v>
      </c>
      <c r="K51" t="s">
        <v>35</v>
      </c>
      <c r="L51" t="s">
        <v>36</v>
      </c>
      <c r="M51" s="3">
        <v>44974</v>
      </c>
      <c r="N51">
        <v>4499.95</v>
      </c>
    </row>
    <row r="52" spans="1:14" x14ac:dyDescent="0.3">
      <c r="A52" t="s">
        <v>167</v>
      </c>
      <c r="B52" s="3">
        <v>45459</v>
      </c>
      <c r="C52" t="s">
        <v>123</v>
      </c>
      <c r="D52" t="s">
        <v>124</v>
      </c>
      <c r="E52" t="s">
        <v>61</v>
      </c>
      <c r="F52" t="s">
        <v>62</v>
      </c>
      <c r="G52" t="s">
        <v>19</v>
      </c>
      <c r="H52">
        <v>5</v>
      </c>
      <c r="I52">
        <v>899.99</v>
      </c>
      <c r="J52" t="s">
        <v>34</v>
      </c>
      <c r="K52" t="s">
        <v>63</v>
      </c>
      <c r="L52" t="s">
        <v>27</v>
      </c>
      <c r="M52" s="3">
        <v>45278</v>
      </c>
      <c r="N52">
        <v>4499.95</v>
      </c>
    </row>
    <row r="53" spans="1:14" x14ac:dyDescent="0.3">
      <c r="A53" t="s">
        <v>168</v>
      </c>
      <c r="B53" s="3">
        <v>45460</v>
      </c>
      <c r="C53" t="s">
        <v>158</v>
      </c>
      <c r="D53" t="s">
        <v>159</v>
      </c>
      <c r="E53" t="s">
        <v>31</v>
      </c>
      <c r="F53" t="s">
        <v>32</v>
      </c>
      <c r="G53" t="s">
        <v>33</v>
      </c>
      <c r="H53">
        <v>1</v>
      </c>
      <c r="I53">
        <v>59.99</v>
      </c>
      <c r="J53" t="s">
        <v>57</v>
      </c>
      <c r="K53" t="s">
        <v>50</v>
      </c>
      <c r="L53" t="s">
        <v>27</v>
      </c>
      <c r="M53" s="3">
        <v>45190</v>
      </c>
      <c r="N53">
        <v>59.99</v>
      </c>
    </row>
    <row r="54" spans="1:14" x14ac:dyDescent="0.3">
      <c r="A54" t="s">
        <v>169</v>
      </c>
      <c r="B54" s="3">
        <v>45460</v>
      </c>
      <c r="C54" t="s">
        <v>141</v>
      </c>
      <c r="D54" t="s">
        <v>142</v>
      </c>
      <c r="E54" t="s">
        <v>105</v>
      </c>
      <c r="F54" t="s">
        <v>106</v>
      </c>
      <c r="G54" t="s">
        <v>46</v>
      </c>
      <c r="H54">
        <v>2</v>
      </c>
      <c r="I54">
        <v>299.99</v>
      </c>
      <c r="J54" t="s">
        <v>57</v>
      </c>
      <c r="K54" t="s">
        <v>63</v>
      </c>
      <c r="L54" t="s">
        <v>36</v>
      </c>
      <c r="M54" s="3">
        <v>45253</v>
      </c>
      <c r="N54">
        <v>599.98</v>
      </c>
    </row>
    <row r="55" spans="1:14" x14ac:dyDescent="0.3">
      <c r="A55" t="s">
        <v>170</v>
      </c>
      <c r="B55" s="3">
        <v>45468</v>
      </c>
      <c r="C55" t="s">
        <v>171</v>
      </c>
      <c r="D55" t="s">
        <v>172</v>
      </c>
      <c r="E55" t="s">
        <v>117</v>
      </c>
      <c r="F55" t="s">
        <v>118</v>
      </c>
      <c r="G55" t="s">
        <v>19</v>
      </c>
      <c r="H55">
        <v>4</v>
      </c>
      <c r="I55">
        <v>89.99</v>
      </c>
      <c r="J55" t="s">
        <v>57</v>
      </c>
      <c r="K55" t="s">
        <v>35</v>
      </c>
      <c r="L55" t="s">
        <v>22</v>
      </c>
      <c r="M55" s="3">
        <v>45281</v>
      </c>
      <c r="N55">
        <v>359.96</v>
      </c>
    </row>
    <row r="56" spans="1:14"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row>
    <row r="57" spans="1:14" x14ac:dyDescent="0.3">
      <c r="A57" t="s">
        <v>174</v>
      </c>
      <c r="B57" s="3">
        <v>45469</v>
      </c>
      <c r="C57" t="s">
        <v>59</v>
      </c>
      <c r="D57" t="s">
        <v>60</v>
      </c>
      <c r="E57" t="s">
        <v>117</v>
      </c>
      <c r="F57" t="s">
        <v>118</v>
      </c>
      <c r="G57" t="s">
        <v>19</v>
      </c>
      <c r="H57">
        <v>2</v>
      </c>
      <c r="I57">
        <v>89.99</v>
      </c>
      <c r="J57" t="s">
        <v>20</v>
      </c>
      <c r="K57" t="s">
        <v>50</v>
      </c>
      <c r="L57" t="s">
        <v>22</v>
      </c>
      <c r="M57" s="3">
        <v>44438</v>
      </c>
      <c r="N57">
        <v>179.98</v>
      </c>
    </row>
    <row r="58" spans="1:14" x14ac:dyDescent="0.3">
      <c r="A58" t="s">
        <v>175</v>
      </c>
      <c r="B58" s="3">
        <v>45471</v>
      </c>
      <c r="C58" t="s">
        <v>38</v>
      </c>
      <c r="D58" t="s">
        <v>39</v>
      </c>
      <c r="E58" t="s">
        <v>80</v>
      </c>
      <c r="F58" t="s">
        <v>81</v>
      </c>
      <c r="G58" t="s">
        <v>19</v>
      </c>
      <c r="H58">
        <v>3</v>
      </c>
      <c r="I58">
        <v>699.99</v>
      </c>
      <c r="J58" t="s">
        <v>26</v>
      </c>
      <c r="K58" t="s">
        <v>63</v>
      </c>
      <c r="L58" t="s">
        <v>27</v>
      </c>
      <c r="M58" s="3">
        <v>45102</v>
      </c>
      <c r="N58">
        <v>2099.9699999999998</v>
      </c>
    </row>
    <row r="59" spans="1:14" x14ac:dyDescent="0.3">
      <c r="A59" t="s">
        <v>176</v>
      </c>
      <c r="B59" s="3">
        <v>45471</v>
      </c>
      <c r="C59" t="s">
        <v>99</v>
      </c>
      <c r="D59" t="s">
        <v>100</v>
      </c>
      <c r="E59" t="s">
        <v>61</v>
      </c>
      <c r="F59" t="s">
        <v>62</v>
      </c>
      <c r="G59" t="s">
        <v>19</v>
      </c>
      <c r="H59">
        <v>4</v>
      </c>
      <c r="I59">
        <v>899.99</v>
      </c>
      <c r="J59" t="s">
        <v>26</v>
      </c>
      <c r="K59" t="s">
        <v>63</v>
      </c>
      <c r="L59" t="s">
        <v>27</v>
      </c>
      <c r="M59" s="3">
        <v>44993</v>
      </c>
      <c r="N59">
        <v>3599.96</v>
      </c>
    </row>
    <row r="60" spans="1:14" x14ac:dyDescent="0.3">
      <c r="A60" t="s">
        <v>177</v>
      </c>
      <c r="B60" s="3">
        <v>45472</v>
      </c>
      <c r="C60" t="s">
        <v>120</v>
      </c>
      <c r="D60" t="s">
        <v>121</v>
      </c>
      <c r="E60" t="s">
        <v>44</v>
      </c>
      <c r="F60" t="s">
        <v>45</v>
      </c>
      <c r="G60" t="s">
        <v>46</v>
      </c>
      <c r="H60">
        <v>1</v>
      </c>
      <c r="I60">
        <v>149.99</v>
      </c>
      <c r="J60" t="s">
        <v>34</v>
      </c>
      <c r="K60" t="s">
        <v>63</v>
      </c>
      <c r="L60" t="s">
        <v>22</v>
      </c>
      <c r="M60" s="3">
        <v>44851</v>
      </c>
      <c r="N60">
        <v>149.99</v>
      </c>
    </row>
    <row r="61" spans="1:14" x14ac:dyDescent="0.3">
      <c r="A61" t="s">
        <v>178</v>
      </c>
      <c r="B61" s="3">
        <v>45474</v>
      </c>
      <c r="C61" t="s">
        <v>132</v>
      </c>
      <c r="D61" t="s">
        <v>133</v>
      </c>
      <c r="E61" t="s">
        <v>117</v>
      </c>
      <c r="F61" t="s">
        <v>118</v>
      </c>
      <c r="G61" t="s">
        <v>19</v>
      </c>
      <c r="H61">
        <v>2</v>
      </c>
      <c r="I61">
        <v>89.99</v>
      </c>
      <c r="J61" t="s">
        <v>34</v>
      </c>
      <c r="K61" t="s">
        <v>21</v>
      </c>
      <c r="L61" t="s">
        <v>27</v>
      </c>
      <c r="M61" s="3">
        <v>45275</v>
      </c>
      <c r="N61">
        <v>179.98</v>
      </c>
    </row>
    <row r="62" spans="1:14" x14ac:dyDescent="0.3">
      <c r="A62" t="s">
        <v>179</v>
      </c>
      <c r="B62" s="3">
        <v>45475</v>
      </c>
      <c r="C62" t="s">
        <v>55</v>
      </c>
      <c r="D62" t="s">
        <v>56</v>
      </c>
      <c r="E62" t="s">
        <v>117</v>
      </c>
      <c r="F62" t="s">
        <v>118</v>
      </c>
      <c r="G62" t="s">
        <v>19</v>
      </c>
      <c r="H62">
        <v>1</v>
      </c>
      <c r="I62">
        <v>89.99</v>
      </c>
      <c r="J62" t="s">
        <v>34</v>
      </c>
      <c r="K62" t="s">
        <v>50</v>
      </c>
      <c r="L62" t="s">
        <v>36</v>
      </c>
      <c r="M62" s="3">
        <v>44802</v>
      </c>
      <c r="N62">
        <v>89.99</v>
      </c>
    </row>
    <row r="63" spans="1:14" x14ac:dyDescent="0.3">
      <c r="A63" t="s">
        <v>180</v>
      </c>
      <c r="B63" s="3">
        <v>45476</v>
      </c>
      <c r="C63" t="s">
        <v>68</v>
      </c>
      <c r="D63" t="s">
        <v>69</v>
      </c>
      <c r="E63" t="s">
        <v>117</v>
      </c>
      <c r="F63" t="s">
        <v>118</v>
      </c>
      <c r="G63" t="s">
        <v>19</v>
      </c>
      <c r="H63">
        <v>1</v>
      </c>
      <c r="I63">
        <v>89.99</v>
      </c>
      <c r="J63" t="s">
        <v>20</v>
      </c>
      <c r="K63" t="s">
        <v>35</v>
      </c>
      <c r="L63" t="s">
        <v>36</v>
      </c>
      <c r="M63" s="3">
        <v>44611</v>
      </c>
      <c r="N63">
        <v>89.99</v>
      </c>
    </row>
    <row r="64" spans="1:14" x14ac:dyDescent="0.3">
      <c r="A64" t="s">
        <v>181</v>
      </c>
      <c r="B64" s="3">
        <v>45476</v>
      </c>
      <c r="C64" t="s">
        <v>182</v>
      </c>
      <c r="D64" t="s">
        <v>183</v>
      </c>
      <c r="E64" t="s">
        <v>114</v>
      </c>
      <c r="F64" t="s">
        <v>115</v>
      </c>
      <c r="G64" t="s">
        <v>33</v>
      </c>
      <c r="H64">
        <v>5</v>
      </c>
      <c r="I64">
        <v>79.989999999999995</v>
      </c>
      <c r="J64" t="s">
        <v>57</v>
      </c>
      <c r="K64" t="s">
        <v>21</v>
      </c>
      <c r="L64" t="s">
        <v>22</v>
      </c>
      <c r="M64" s="3">
        <v>44981</v>
      </c>
      <c r="N64">
        <v>399.95</v>
      </c>
    </row>
    <row r="65" spans="1:14" x14ac:dyDescent="0.3">
      <c r="A65" t="s">
        <v>184</v>
      </c>
      <c r="B65" s="3">
        <v>45481</v>
      </c>
      <c r="C65" t="s">
        <v>185</v>
      </c>
      <c r="D65" t="s">
        <v>186</v>
      </c>
      <c r="E65" t="s">
        <v>44</v>
      </c>
      <c r="F65" t="s">
        <v>45</v>
      </c>
      <c r="G65" t="s">
        <v>46</v>
      </c>
      <c r="H65">
        <v>1</v>
      </c>
      <c r="I65">
        <v>149.99</v>
      </c>
      <c r="J65" t="s">
        <v>34</v>
      </c>
      <c r="K65" t="s">
        <v>40</v>
      </c>
      <c r="L65" t="s">
        <v>22</v>
      </c>
      <c r="M65" s="3">
        <v>44421</v>
      </c>
      <c r="N65">
        <v>149.99</v>
      </c>
    </row>
    <row r="66" spans="1:14" x14ac:dyDescent="0.3">
      <c r="A66" t="s">
        <v>187</v>
      </c>
      <c r="B66" s="3">
        <v>45481</v>
      </c>
      <c r="C66" t="s">
        <v>42</v>
      </c>
      <c r="D66" t="s">
        <v>43</v>
      </c>
      <c r="E66" t="s">
        <v>80</v>
      </c>
      <c r="F66" t="s">
        <v>81</v>
      </c>
      <c r="G66" t="s">
        <v>19</v>
      </c>
      <c r="H66">
        <v>2</v>
      </c>
      <c r="I66">
        <v>699.99</v>
      </c>
      <c r="J66" t="s">
        <v>34</v>
      </c>
      <c r="K66" t="s">
        <v>63</v>
      </c>
      <c r="L66" t="s">
        <v>27</v>
      </c>
      <c r="M66" s="3">
        <v>45389</v>
      </c>
      <c r="N66">
        <v>1399.98</v>
      </c>
    </row>
    <row r="67" spans="1:14" x14ac:dyDescent="0.3">
      <c r="A67" t="s">
        <v>188</v>
      </c>
      <c r="B67" s="3">
        <v>45481</v>
      </c>
      <c r="C67" t="s">
        <v>96</v>
      </c>
      <c r="D67" t="s">
        <v>97</v>
      </c>
      <c r="E67" t="s">
        <v>117</v>
      </c>
      <c r="F67" t="s">
        <v>118</v>
      </c>
      <c r="G67" t="s">
        <v>19</v>
      </c>
      <c r="H67">
        <v>5</v>
      </c>
      <c r="I67">
        <v>89.99</v>
      </c>
      <c r="J67" t="s">
        <v>57</v>
      </c>
      <c r="K67" t="s">
        <v>40</v>
      </c>
      <c r="L67" t="s">
        <v>27</v>
      </c>
      <c r="M67" s="3">
        <v>45161</v>
      </c>
      <c r="N67">
        <v>449.95</v>
      </c>
    </row>
    <row r="68" spans="1:14" x14ac:dyDescent="0.3">
      <c r="A68" t="s">
        <v>189</v>
      </c>
      <c r="B68" s="3">
        <v>45482</v>
      </c>
      <c r="C68" t="s">
        <v>171</v>
      </c>
      <c r="D68" t="s">
        <v>172</v>
      </c>
      <c r="E68" t="s">
        <v>31</v>
      </c>
      <c r="F68" t="s">
        <v>32</v>
      </c>
      <c r="G68" t="s">
        <v>33</v>
      </c>
      <c r="H68">
        <v>4</v>
      </c>
      <c r="I68">
        <v>59.99</v>
      </c>
      <c r="J68" t="s">
        <v>20</v>
      </c>
      <c r="K68" t="s">
        <v>35</v>
      </c>
      <c r="L68" t="s">
        <v>36</v>
      </c>
      <c r="M68" s="3">
        <v>44509</v>
      </c>
      <c r="N68">
        <v>239.96</v>
      </c>
    </row>
    <row r="69" spans="1:14" x14ac:dyDescent="0.3">
      <c r="A69" t="s">
        <v>190</v>
      </c>
      <c r="B69" s="3">
        <v>45484</v>
      </c>
      <c r="C69" t="s">
        <v>24</v>
      </c>
      <c r="D69" t="s">
        <v>25</v>
      </c>
      <c r="E69" t="s">
        <v>52</v>
      </c>
      <c r="F69" t="s">
        <v>53</v>
      </c>
      <c r="G69" t="s">
        <v>19</v>
      </c>
      <c r="H69">
        <v>1</v>
      </c>
      <c r="I69">
        <v>149.99</v>
      </c>
      <c r="J69" t="s">
        <v>20</v>
      </c>
      <c r="K69" t="s">
        <v>21</v>
      </c>
      <c r="L69" t="s">
        <v>36</v>
      </c>
      <c r="M69" s="3">
        <v>44909</v>
      </c>
      <c r="N69">
        <v>149.99</v>
      </c>
    </row>
    <row r="70" spans="1:14" x14ac:dyDescent="0.3">
      <c r="A70" t="s">
        <v>191</v>
      </c>
      <c r="B70" s="3">
        <v>45484</v>
      </c>
      <c r="C70" t="s">
        <v>192</v>
      </c>
      <c r="D70" t="s">
        <v>193</v>
      </c>
      <c r="E70" t="s">
        <v>105</v>
      </c>
      <c r="F70" t="s">
        <v>106</v>
      </c>
      <c r="G70" t="s">
        <v>46</v>
      </c>
      <c r="H70">
        <v>1</v>
      </c>
      <c r="I70">
        <v>299.99</v>
      </c>
      <c r="J70" t="s">
        <v>26</v>
      </c>
      <c r="K70" t="s">
        <v>40</v>
      </c>
      <c r="L70" t="s">
        <v>27</v>
      </c>
      <c r="M70" s="3">
        <v>44891</v>
      </c>
      <c r="N70">
        <v>299.99</v>
      </c>
    </row>
    <row r="71" spans="1:14" x14ac:dyDescent="0.3">
      <c r="A71" t="s">
        <v>194</v>
      </c>
      <c r="B71" s="3">
        <v>45487</v>
      </c>
      <c r="C71" t="s">
        <v>192</v>
      </c>
      <c r="D71" t="s">
        <v>193</v>
      </c>
      <c r="E71" t="s">
        <v>126</v>
      </c>
      <c r="F71" t="s">
        <v>127</v>
      </c>
      <c r="G71" t="s">
        <v>46</v>
      </c>
      <c r="H71">
        <v>2</v>
      </c>
      <c r="I71">
        <v>199.99</v>
      </c>
      <c r="J71" t="s">
        <v>20</v>
      </c>
      <c r="K71" t="s">
        <v>40</v>
      </c>
      <c r="L71" t="s">
        <v>22</v>
      </c>
      <c r="M71" s="3">
        <v>44541</v>
      </c>
      <c r="N71">
        <v>399.98</v>
      </c>
    </row>
    <row r="72" spans="1:14" x14ac:dyDescent="0.3">
      <c r="A72" t="s">
        <v>195</v>
      </c>
      <c r="B72" s="3">
        <v>45490</v>
      </c>
      <c r="C72" t="s">
        <v>196</v>
      </c>
      <c r="D72" t="s">
        <v>197</v>
      </c>
      <c r="E72" t="s">
        <v>31</v>
      </c>
      <c r="F72" t="s">
        <v>32</v>
      </c>
      <c r="G72" t="s">
        <v>33</v>
      </c>
      <c r="H72">
        <v>3</v>
      </c>
      <c r="I72">
        <v>59.99</v>
      </c>
      <c r="J72" t="s">
        <v>26</v>
      </c>
      <c r="K72" t="s">
        <v>50</v>
      </c>
      <c r="L72" t="s">
        <v>22</v>
      </c>
      <c r="M72" s="3">
        <v>45130</v>
      </c>
      <c r="N72">
        <v>179.97</v>
      </c>
    </row>
    <row r="73" spans="1:14" x14ac:dyDescent="0.3">
      <c r="A73" t="s">
        <v>198</v>
      </c>
      <c r="B73" s="3">
        <v>45490</v>
      </c>
      <c r="C73" t="s">
        <v>72</v>
      </c>
      <c r="D73" t="s">
        <v>73</v>
      </c>
      <c r="E73" t="s">
        <v>44</v>
      </c>
      <c r="F73" t="s">
        <v>45</v>
      </c>
      <c r="G73" t="s">
        <v>46</v>
      </c>
      <c r="H73">
        <v>3</v>
      </c>
      <c r="I73">
        <v>149.99</v>
      </c>
      <c r="J73" t="s">
        <v>20</v>
      </c>
      <c r="K73" t="s">
        <v>21</v>
      </c>
      <c r="L73" t="s">
        <v>27</v>
      </c>
      <c r="M73" s="3">
        <v>45199</v>
      </c>
      <c r="N73">
        <v>449.97</v>
      </c>
    </row>
    <row r="74" spans="1:14" x14ac:dyDescent="0.3">
      <c r="A74" t="s">
        <v>199</v>
      </c>
      <c r="B74" s="3">
        <v>45491</v>
      </c>
      <c r="C74" t="s">
        <v>65</v>
      </c>
      <c r="D74" t="s">
        <v>66</v>
      </c>
      <c r="E74" t="s">
        <v>126</v>
      </c>
      <c r="F74" t="s">
        <v>127</v>
      </c>
      <c r="G74" t="s">
        <v>46</v>
      </c>
      <c r="H74">
        <v>3</v>
      </c>
      <c r="I74">
        <v>199.99</v>
      </c>
      <c r="J74" t="s">
        <v>20</v>
      </c>
      <c r="K74" t="s">
        <v>40</v>
      </c>
      <c r="L74" t="s">
        <v>27</v>
      </c>
      <c r="M74" s="3">
        <v>45254</v>
      </c>
      <c r="N74">
        <v>599.97</v>
      </c>
    </row>
    <row r="75" spans="1:14" x14ac:dyDescent="0.3">
      <c r="A75" t="s">
        <v>200</v>
      </c>
      <c r="B75" s="3">
        <v>45496</v>
      </c>
      <c r="C75" t="s">
        <v>150</v>
      </c>
      <c r="D75" t="s">
        <v>151</v>
      </c>
      <c r="E75" t="s">
        <v>61</v>
      </c>
      <c r="F75" t="s">
        <v>62</v>
      </c>
      <c r="G75" t="s">
        <v>19</v>
      </c>
      <c r="H75">
        <v>1</v>
      </c>
      <c r="I75">
        <v>899.99</v>
      </c>
      <c r="J75" t="s">
        <v>20</v>
      </c>
      <c r="K75" t="s">
        <v>21</v>
      </c>
      <c r="L75" t="s">
        <v>36</v>
      </c>
      <c r="M75" s="3">
        <v>45179</v>
      </c>
      <c r="N75">
        <v>899.99</v>
      </c>
    </row>
    <row r="76" spans="1:14" x14ac:dyDescent="0.3">
      <c r="A76" t="s">
        <v>201</v>
      </c>
      <c r="B76" s="3">
        <v>45497</v>
      </c>
      <c r="C76" t="s">
        <v>24</v>
      </c>
      <c r="D76" t="s">
        <v>25</v>
      </c>
      <c r="E76" t="s">
        <v>61</v>
      </c>
      <c r="F76" t="s">
        <v>62</v>
      </c>
      <c r="G76" t="s">
        <v>19</v>
      </c>
      <c r="H76">
        <v>5</v>
      </c>
      <c r="I76">
        <v>899.99</v>
      </c>
      <c r="J76" t="s">
        <v>57</v>
      </c>
      <c r="K76" t="s">
        <v>35</v>
      </c>
      <c r="L76" t="s">
        <v>36</v>
      </c>
      <c r="M76" s="3">
        <v>44899</v>
      </c>
      <c r="N76">
        <v>4499.95</v>
      </c>
    </row>
    <row r="77" spans="1:14" x14ac:dyDescent="0.3">
      <c r="A77" t="s">
        <v>202</v>
      </c>
      <c r="B77" s="3">
        <v>45498</v>
      </c>
      <c r="C77" t="s">
        <v>182</v>
      </c>
      <c r="D77" t="s">
        <v>183</v>
      </c>
      <c r="E77" t="s">
        <v>31</v>
      </c>
      <c r="F77" t="s">
        <v>32</v>
      </c>
      <c r="G77" t="s">
        <v>33</v>
      </c>
      <c r="H77">
        <v>2</v>
      </c>
      <c r="I77">
        <v>59.99</v>
      </c>
      <c r="J77" t="s">
        <v>20</v>
      </c>
      <c r="K77" t="s">
        <v>40</v>
      </c>
      <c r="L77" t="s">
        <v>36</v>
      </c>
      <c r="M77" s="3">
        <v>45152</v>
      </c>
      <c r="N77">
        <v>119.98</v>
      </c>
    </row>
    <row r="78" spans="1:14" x14ac:dyDescent="0.3">
      <c r="A78" t="s">
        <v>203</v>
      </c>
      <c r="B78" s="3">
        <v>45498</v>
      </c>
      <c r="C78" t="s">
        <v>196</v>
      </c>
      <c r="D78" t="s">
        <v>197</v>
      </c>
      <c r="E78" t="s">
        <v>17</v>
      </c>
      <c r="F78" t="s">
        <v>18</v>
      </c>
      <c r="G78" t="s">
        <v>19</v>
      </c>
      <c r="H78">
        <v>4</v>
      </c>
      <c r="I78">
        <v>249.99</v>
      </c>
      <c r="J78" t="s">
        <v>57</v>
      </c>
      <c r="K78" t="s">
        <v>21</v>
      </c>
      <c r="L78" t="s">
        <v>36</v>
      </c>
      <c r="M78" s="3">
        <v>45127</v>
      </c>
      <c r="N78">
        <v>999.96</v>
      </c>
    </row>
    <row r="79" spans="1:14" x14ac:dyDescent="0.3">
      <c r="A79" t="s">
        <v>204</v>
      </c>
      <c r="B79" s="3">
        <v>45500</v>
      </c>
      <c r="C79" t="s">
        <v>96</v>
      </c>
      <c r="D79" t="s">
        <v>97</v>
      </c>
      <c r="E79" t="s">
        <v>17</v>
      </c>
      <c r="F79" t="s">
        <v>18</v>
      </c>
      <c r="G79" t="s">
        <v>19</v>
      </c>
      <c r="H79">
        <v>2</v>
      </c>
      <c r="I79">
        <v>249.99</v>
      </c>
      <c r="J79" t="s">
        <v>20</v>
      </c>
      <c r="K79" t="s">
        <v>40</v>
      </c>
      <c r="L79" t="s">
        <v>27</v>
      </c>
      <c r="M79" s="3">
        <v>45164</v>
      </c>
      <c r="N79">
        <v>499.98</v>
      </c>
    </row>
    <row r="80" spans="1:14" x14ac:dyDescent="0.3">
      <c r="A80" t="s">
        <v>205</v>
      </c>
      <c r="B80" s="3">
        <v>45500</v>
      </c>
      <c r="C80" t="s">
        <v>147</v>
      </c>
      <c r="D80" t="s">
        <v>148</v>
      </c>
      <c r="E80" t="s">
        <v>105</v>
      </c>
      <c r="F80" t="s">
        <v>106</v>
      </c>
      <c r="G80" t="s">
        <v>46</v>
      </c>
      <c r="H80">
        <v>1</v>
      </c>
      <c r="I80">
        <v>299.99</v>
      </c>
      <c r="J80" t="s">
        <v>20</v>
      </c>
      <c r="K80" t="s">
        <v>35</v>
      </c>
      <c r="L80" t="s">
        <v>22</v>
      </c>
      <c r="M80" s="3">
        <v>44982</v>
      </c>
      <c r="N80">
        <v>299.99</v>
      </c>
    </row>
    <row r="81" spans="1:14" x14ac:dyDescent="0.3">
      <c r="A81" t="s">
        <v>206</v>
      </c>
      <c r="B81" s="3">
        <v>45501</v>
      </c>
      <c r="C81" t="s">
        <v>86</v>
      </c>
      <c r="D81" t="s">
        <v>87</v>
      </c>
      <c r="E81" t="s">
        <v>117</v>
      </c>
      <c r="F81" t="s">
        <v>118</v>
      </c>
      <c r="G81" t="s">
        <v>19</v>
      </c>
      <c r="H81">
        <v>2</v>
      </c>
      <c r="I81">
        <v>89.99</v>
      </c>
      <c r="J81" t="s">
        <v>34</v>
      </c>
      <c r="K81" t="s">
        <v>35</v>
      </c>
      <c r="L81" t="s">
        <v>22</v>
      </c>
      <c r="M81" s="3">
        <v>44976</v>
      </c>
      <c r="N81">
        <v>179.98</v>
      </c>
    </row>
    <row r="82" spans="1:14" x14ac:dyDescent="0.3">
      <c r="A82" t="s">
        <v>207</v>
      </c>
      <c r="B82" s="3">
        <v>45501</v>
      </c>
      <c r="C82" t="s">
        <v>147</v>
      </c>
      <c r="D82" t="s">
        <v>148</v>
      </c>
      <c r="E82" t="s">
        <v>105</v>
      </c>
      <c r="F82" t="s">
        <v>106</v>
      </c>
      <c r="G82" t="s">
        <v>46</v>
      </c>
      <c r="H82">
        <v>3</v>
      </c>
      <c r="I82">
        <v>299.99</v>
      </c>
      <c r="J82" t="s">
        <v>20</v>
      </c>
      <c r="K82" t="s">
        <v>21</v>
      </c>
      <c r="L82" t="s">
        <v>22</v>
      </c>
      <c r="M82" s="3">
        <v>44732</v>
      </c>
      <c r="N82">
        <v>899.97</v>
      </c>
    </row>
    <row r="83" spans="1:14" x14ac:dyDescent="0.3">
      <c r="A83" t="s">
        <v>208</v>
      </c>
      <c r="B83" s="3">
        <v>45503</v>
      </c>
      <c r="C83" t="s">
        <v>86</v>
      </c>
      <c r="D83" t="s">
        <v>87</v>
      </c>
      <c r="E83" t="s">
        <v>80</v>
      </c>
      <c r="F83" t="s">
        <v>81</v>
      </c>
      <c r="G83" t="s">
        <v>19</v>
      </c>
      <c r="H83">
        <v>2</v>
      </c>
      <c r="I83">
        <v>699.99</v>
      </c>
      <c r="J83" t="s">
        <v>26</v>
      </c>
      <c r="K83" t="s">
        <v>40</v>
      </c>
      <c r="L83" t="s">
        <v>27</v>
      </c>
      <c r="M83" s="3">
        <v>44999</v>
      </c>
      <c r="N83">
        <v>1399.98</v>
      </c>
    </row>
    <row r="84" spans="1:14" x14ac:dyDescent="0.3">
      <c r="A84" t="s">
        <v>209</v>
      </c>
      <c r="B84" s="3">
        <v>45504</v>
      </c>
      <c r="C84" t="s">
        <v>120</v>
      </c>
      <c r="D84" t="s">
        <v>121</v>
      </c>
      <c r="E84" t="s">
        <v>61</v>
      </c>
      <c r="F84" t="s">
        <v>62</v>
      </c>
      <c r="G84" t="s">
        <v>19</v>
      </c>
      <c r="H84">
        <v>4</v>
      </c>
      <c r="I84">
        <v>899.99</v>
      </c>
      <c r="J84" t="s">
        <v>57</v>
      </c>
      <c r="K84" t="s">
        <v>35</v>
      </c>
      <c r="L84" t="s">
        <v>36</v>
      </c>
      <c r="M84" s="3">
        <v>44523</v>
      </c>
      <c r="N84">
        <v>3599.96</v>
      </c>
    </row>
    <row r="85" spans="1:14" x14ac:dyDescent="0.3">
      <c r="A85" t="s">
        <v>210</v>
      </c>
      <c r="B85" s="3">
        <v>45509</v>
      </c>
      <c r="C85" t="s">
        <v>211</v>
      </c>
      <c r="D85" t="s">
        <v>212</v>
      </c>
      <c r="E85" t="s">
        <v>44</v>
      </c>
      <c r="F85" t="s">
        <v>45</v>
      </c>
      <c r="G85" t="s">
        <v>46</v>
      </c>
      <c r="H85">
        <v>2</v>
      </c>
      <c r="I85">
        <v>149.99</v>
      </c>
      <c r="J85" t="s">
        <v>26</v>
      </c>
      <c r="K85" t="s">
        <v>50</v>
      </c>
      <c r="L85" t="s">
        <v>22</v>
      </c>
      <c r="M85" s="3">
        <v>44542</v>
      </c>
      <c r="N85">
        <v>299.98</v>
      </c>
    </row>
    <row r="86" spans="1:14" x14ac:dyDescent="0.3">
      <c r="A86" t="s">
        <v>213</v>
      </c>
      <c r="B86" s="3">
        <v>45510</v>
      </c>
      <c r="C86" t="s">
        <v>102</v>
      </c>
      <c r="D86" t="s">
        <v>103</v>
      </c>
      <c r="E86" t="s">
        <v>44</v>
      </c>
      <c r="F86" t="s">
        <v>45</v>
      </c>
      <c r="G86" t="s">
        <v>46</v>
      </c>
      <c r="H86">
        <v>2</v>
      </c>
      <c r="I86">
        <v>149.99</v>
      </c>
      <c r="J86" t="s">
        <v>57</v>
      </c>
      <c r="K86" t="s">
        <v>63</v>
      </c>
      <c r="L86" t="s">
        <v>36</v>
      </c>
      <c r="M86" s="3">
        <v>44667</v>
      </c>
      <c r="N86">
        <v>299.98</v>
      </c>
    </row>
    <row r="87" spans="1:14" x14ac:dyDescent="0.3">
      <c r="A87" t="s">
        <v>214</v>
      </c>
      <c r="B87" s="3">
        <v>45513</v>
      </c>
      <c r="C87" t="s">
        <v>89</v>
      </c>
      <c r="D87" t="s">
        <v>90</v>
      </c>
      <c r="E87" t="s">
        <v>117</v>
      </c>
      <c r="F87" t="s">
        <v>118</v>
      </c>
      <c r="G87" t="s">
        <v>19</v>
      </c>
      <c r="H87">
        <v>1</v>
      </c>
      <c r="I87">
        <v>89.99</v>
      </c>
      <c r="J87" t="s">
        <v>26</v>
      </c>
      <c r="K87" t="s">
        <v>40</v>
      </c>
      <c r="L87" t="s">
        <v>36</v>
      </c>
      <c r="M87" s="3">
        <v>45393</v>
      </c>
      <c r="N87">
        <v>89.99</v>
      </c>
    </row>
    <row r="88" spans="1:14" x14ac:dyDescent="0.3">
      <c r="A88" t="s">
        <v>215</v>
      </c>
      <c r="B88" s="3">
        <v>45515</v>
      </c>
      <c r="C88" t="s">
        <v>86</v>
      </c>
      <c r="D88" t="s">
        <v>87</v>
      </c>
      <c r="E88" t="s">
        <v>105</v>
      </c>
      <c r="F88" t="s">
        <v>106</v>
      </c>
      <c r="G88" t="s">
        <v>46</v>
      </c>
      <c r="H88">
        <v>5</v>
      </c>
      <c r="I88">
        <v>299.99</v>
      </c>
      <c r="J88" t="s">
        <v>26</v>
      </c>
      <c r="K88" t="s">
        <v>40</v>
      </c>
      <c r="L88" t="s">
        <v>22</v>
      </c>
      <c r="M88" s="3">
        <v>44965</v>
      </c>
      <c r="N88">
        <v>1499.95</v>
      </c>
    </row>
    <row r="89" spans="1:14" x14ac:dyDescent="0.3">
      <c r="A89" t="s">
        <v>216</v>
      </c>
      <c r="B89" s="3">
        <v>45517</v>
      </c>
      <c r="C89" t="s">
        <v>182</v>
      </c>
      <c r="D89" t="s">
        <v>183</v>
      </c>
      <c r="E89" t="s">
        <v>52</v>
      </c>
      <c r="F89" t="s">
        <v>53</v>
      </c>
      <c r="G89" t="s">
        <v>19</v>
      </c>
      <c r="H89">
        <v>4</v>
      </c>
      <c r="I89">
        <v>149.99</v>
      </c>
      <c r="J89" t="s">
        <v>57</v>
      </c>
      <c r="K89" t="s">
        <v>35</v>
      </c>
      <c r="L89" t="s">
        <v>27</v>
      </c>
      <c r="M89" s="3">
        <v>44820</v>
      </c>
      <c r="N89">
        <v>599.96</v>
      </c>
    </row>
    <row r="90" spans="1:14" x14ac:dyDescent="0.3">
      <c r="A90" t="s">
        <v>217</v>
      </c>
      <c r="B90" s="3">
        <v>45517</v>
      </c>
      <c r="C90" t="s">
        <v>185</v>
      </c>
      <c r="D90" t="s">
        <v>186</v>
      </c>
      <c r="E90" t="s">
        <v>17</v>
      </c>
      <c r="F90" t="s">
        <v>18</v>
      </c>
      <c r="G90" t="s">
        <v>19</v>
      </c>
      <c r="H90">
        <v>5</v>
      </c>
      <c r="I90">
        <v>249.99</v>
      </c>
      <c r="J90" t="s">
        <v>34</v>
      </c>
      <c r="K90" t="s">
        <v>63</v>
      </c>
      <c r="L90" t="s">
        <v>27</v>
      </c>
      <c r="M90" s="3">
        <v>44782</v>
      </c>
      <c r="N90">
        <v>1249.95</v>
      </c>
    </row>
    <row r="91" spans="1:14" x14ac:dyDescent="0.3">
      <c r="A91" t="s">
        <v>218</v>
      </c>
      <c r="B91" s="3">
        <v>45517</v>
      </c>
      <c r="C91" t="s">
        <v>65</v>
      </c>
      <c r="D91" t="s">
        <v>66</v>
      </c>
      <c r="E91" t="s">
        <v>17</v>
      </c>
      <c r="F91" t="s">
        <v>18</v>
      </c>
      <c r="G91" t="s">
        <v>19</v>
      </c>
      <c r="H91">
        <v>3</v>
      </c>
      <c r="I91">
        <v>249.99</v>
      </c>
      <c r="J91" t="s">
        <v>34</v>
      </c>
      <c r="K91" t="s">
        <v>40</v>
      </c>
      <c r="L91" t="s">
        <v>27</v>
      </c>
      <c r="M91" s="3">
        <v>44465</v>
      </c>
      <c r="N91">
        <v>749.97</v>
      </c>
    </row>
    <row r="92" spans="1:14" x14ac:dyDescent="0.3">
      <c r="A92" t="s">
        <v>219</v>
      </c>
      <c r="B92" s="3">
        <v>45517</v>
      </c>
      <c r="C92" t="s">
        <v>38</v>
      </c>
      <c r="D92" t="s">
        <v>39</v>
      </c>
      <c r="E92" t="s">
        <v>126</v>
      </c>
      <c r="F92" t="s">
        <v>127</v>
      </c>
      <c r="G92" t="s">
        <v>46</v>
      </c>
      <c r="H92">
        <v>4</v>
      </c>
      <c r="I92">
        <v>199.99</v>
      </c>
      <c r="J92" t="s">
        <v>20</v>
      </c>
      <c r="K92" t="s">
        <v>40</v>
      </c>
      <c r="L92" t="s">
        <v>36</v>
      </c>
      <c r="M92" s="3">
        <v>44458</v>
      </c>
      <c r="N92">
        <v>799.96</v>
      </c>
    </row>
    <row r="93" spans="1:14" x14ac:dyDescent="0.3">
      <c r="A93" t="s">
        <v>220</v>
      </c>
      <c r="B93" s="3">
        <v>45519</v>
      </c>
      <c r="C93" t="s">
        <v>158</v>
      </c>
      <c r="D93" t="s">
        <v>159</v>
      </c>
      <c r="E93" t="s">
        <v>126</v>
      </c>
      <c r="F93" t="s">
        <v>127</v>
      </c>
      <c r="G93" t="s">
        <v>46</v>
      </c>
      <c r="H93">
        <v>5</v>
      </c>
      <c r="I93">
        <v>199.99</v>
      </c>
      <c r="J93" t="s">
        <v>20</v>
      </c>
      <c r="K93" t="s">
        <v>40</v>
      </c>
      <c r="L93" t="s">
        <v>27</v>
      </c>
      <c r="M93" s="3">
        <v>44991</v>
      </c>
      <c r="N93">
        <v>999.95</v>
      </c>
    </row>
    <row r="94" spans="1:14" x14ac:dyDescent="0.3">
      <c r="A94" t="s">
        <v>221</v>
      </c>
      <c r="B94" s="3">
        <v>45522</v>
      </c>
      <c r="C94" t="s">
        <v>86</v>
      </c>
      <c r="D94" t="s">
        <v>87</v>
      </c>
      <c r="E94" t="s">
        <v>117</v>
      </c>
      <c r="F94" t="s">
        <v>118</v>
      </c>
      <c r="G94" t="s">
        <v>19</v>
      </c>
      <c r="H94">
        <v>2</v>
      </c>
      <c r="I94">
        <v>89.99</v>
      </c>
      <c r="J94" t="s">
        <v>20</v>
      </c>
      <c r="K94" t="s">
        <v>63</v>
      </c>
      <c r="L94" t="s">
        <v>27</v>
      </c>
      <c r="M94" s="3">
        <v>44972</v>
      </c>
      <c r="N94">
        <v>179.98</v>
      </c>
    </row>
    <row r="95" spans="1:14" x14ac:dyDescent="0.3">
      <c r="A95" t="s">
        <v>222</v>
      </c>
      <c r="B95" s="3">
        <v>45523</v>
      </c>
      <c r="C95" t="s">
        <v>196</v>
      </c>
      <c r="D95" t="s">
        <v>197</v>
      </c>
      <c r="E95" t="s">
        <v>61</v>
      </c>
      <c r="F95" t="s">
        <v>62</v>
      </c>
      <c r="G95" t="s">
        <v>19</v>
      </c>
      <c r="H95">
        <v>5</v>
      </c>
      <c r="I95">
        <v>899.99</v>
      </c>
      <c r="J95" t="s">
        <v>57</v>
      </c>
      <c r="K95" t="s">
        <v>63</v>
      </c>
      <c r="L95" t="s">
        <v>22</v>
      </c>
      <c r="M95" s="3">
        <v>44526</v>
      </c>
      <c r="N95">
        <v>4499.95</v>
      </c>
    </row>
    <row r="96" spans="1:14" x14ac:dyDescent="0.3">
      <c r="A96" t="s">
        <v>223</v>
      </c>
      <c r="B96" s="3">
        <v>45523</v>
      </c>
      <c r="C96" t="s">
        <v>108</v>
      </c>
      <c r="D96" t="s">
        <v>109</v>
      </c>
      <c r="E96" t="s">
        <v>52</v>
      </c>
      <c r="F96" t="s">
        <v>53</v>
      </c>
      <c r="G96" t="s">
        <v>19</v>
      </c>
      <c r="H96">
        <v>3</v>
      </c>
      <c r="I96">
        <v>149.99</v>
      </c>
      <c r="J96" t="s">
        <v>34</v>
      </c>
      <c r="K96" t="s">
        <v>63</v>
      </c>
      <c r="L96" t="s">
        <v>22</v>
      </c>
      <c r="M96" s="3">
        <v>44574</v>
      </c>
      <c r="N96">
        <v>449.97</v>
      </c>
    </row>
    <row r="97" spans="1:14" x14ac:dyDescent="0.3">
      <c r="A97" t="s">
        <v>224</v>
      </c>
      <c r="B97" s="3">
        <v>45526</v>
      </c>
      <c r="C97" t="s">
        <v>102</v>
      </c>
      <c r="D97" t="s">
        <v>103</v>
      </c>
      <c r="E97" t="s">
        <v>44</v>
      </c>
      <c r="F97" t="s">
        <v>45</v>
      </c>
      <c r="G97" t="s">
        <v>46</v>
      </c>
      <c r="H97">
        <v>5</v>
      </c>
      <c r="I97">
        <v>149.99</v>
      </c>
      <c r="J97" t="s">
        <v>26</v>
      </c>
      <c r="K97" t="s">
        <v>21</v>
      </c>
      <c r="L97" t="s">
        <v>22</v>
      </c>
      <c r="M97" s="3">
        <v>45310</v>
      </c>
      <c r="N97">
        <v>749.95</v>
      </c>
    </row>
    <row r="98" spans="1:14" x14ac:dyDescent="0.3">
      <c r="A98" t="s">
        <v>225</v>
      </c>
      <c r="B98" s="3">
        <v>45528</v>
      </c>
      <c r="C98" t="s">
        <v>226</v>
      </c>
      <c r="D98" t="s">
        <v>227</v>
      </c>
      <c r="E98" t="s">
        <v>114</v>
      </c>
      <c r="F98" t="s">
        <v>115</v>
      </c>
      <c r="G98" t="s">
        <v>33</v>
      </c>
      <c r="H98">
        <v>3</v>
      </c>
      <c r="I98">
        <v>79.989999999999995</v>
      </c>
      <c r="J98" t="s">
        <v>20</v>
      </c>
      <c r="K98" t="s">
        <v>21</v>
      </c>
      <c r="L98" t="s">
        <v>27</v>
      </c>
      <c r="M98" s="3">
        <v>44779</v>
      </c>
      <c r="N98">
        <v>239.97</v>
      </c>
    </row>
    <row r="99" spans="1:14" x14ac:dyDescent="0.3">
      <c r="A99" t="s">
        <v>228</v>
      </c>
      <c r="B99" s="3">
        <v>45528</v>
      </c>
      <c r="C99" t="s">
        <v>144</v>
      </c>
      <c r="D99" t="s">
        <v>145</v>
      </c>
      <c r="E99" t="s">
        <v>17</v>
      </c>
      <c r="F99" t="s">
        <v>18</v>
      </c>
      <c r="G99" t="s">
        <v>19</v>
      </c>
      <c r="H99">
        <v>2</v>
      </c>
      <c r="I99">
        <v>249.99</v>
      </c>
      <c r="J99" t="s">
        <v>20</v>
      </c>
      <c r="K99" t="s">
        <v>35</v>
      </c>
      <c r="L99" t="s">
        <v>36</v>
      </c>
      <c r="M99" s="3">
        <v>44572</v>
      </c>
      <c r="N99">
        <v>499.98</v>
      </c>
    </row>
    <row r="100" spans="1:14" x14ac:dyDescent="0.3">
      <c r="A100" t="s">
        <v>229</v>
      </c>
      <c r="B100" s="3">
        <v>45532</v>
      </c>
      <c r="C100" t="s">
        <v>196</v>
      </c>
      <c r="D100" t="s">
        <v>197</v>
      </c>
      <c r="E100" t="s">
        <v>80</v>
      </c>
      <c r="F100" t="s">
        <v>81</v>
      </c>
      <c r="G100" t="s">
        <v>19</v>
      </c>
      <c r="H100">
        <v>1</v>
      </c>
      <c r="I100">
        <v>699.99</v>
      </c>
      <c r="J100" t="s">
        <v>20</v>
      </c>
      <c r="K100" t="s">
        <v>21</v>
      </c>
      <c r="L100" t="s">
        <v>27</v>
      </c>
      <c r="M100" s="3">
        <v>44497</v>
      </c>
      <c r="N100">
        <v>699.99</v>
      </c>
    </row>
    <row r="101" spans="1:14" x14ac:dyDescent="0.3">
      <c r="A101" t="s">
        <v>230</v>
      </c>
      <c r="B101" s="3">
        <v>45532</v>
      </c>
      <c r="C101" t="s">
        <v>231</v>
      </c>
      <c r="D101" t="s">
        <v>232</v>
      </c>
      <c r="E101" t="s">
        <v>52</v>
      </c>
      <c r="F101" t="s">
        <v>53</v>
      </c>
      <c r="G101" t="s">
        <v>19</v>
      </c>
      <c r="H101">
        <v>3</v>
      </c>
      <c r="I101">
        <v>149.99</v>
      </c>
      <c r="J101" t="s">
        <v>20</v>
      </c>
      <c r="K101" t="s">
        <v>50</v>
      </c>
      <c r="L101" t="s">
        <v>27</v>
      </c>
      <c r="M101" s="3">
        <v>45212</v>
      </c>
      <c r="N101">
        <v>449.97</v>
      </c>
    </row>
    <row r="102" spans="1:14" x14ac:dyDescent="0.3">
      <c r="A102" t="s">
        <v>233</v>
      </c>
      <c r="B102" s="3">
        <v>45534</v>
      </c>
      <c r="C102" t="s">
        <v>234</v>
      </c>
      <c r="D102" t="s">
        <v>235</v>
      </c>
      <c r="E102" t="s">
        <v>80</v>
      </c>
      <c r="F102" t="s">
        <v>81</v>
      </c>
      <c r="G102" t="s">
        <v>19</v>
      </c>
      <c r="H102">
        <v>2</v>
      </c>
      <c r="I102">
        <v>699.99</v>
      </c>
      <c r="J102" t="s">
        <v>26</v>
      </c>
      <c r="K102" t="s">
        <v>40</v>
      </c>
      <c r="L102" t="s">
        <v>27</v>
      </c>
      <c r="M102" s="3">
        <v>44421</v>
      </c>
      <c r="N102">
        <v>1399.98</v>
      </c>
    </row>
    <row r="103" spans="1:14" x14ac:dyDescent="0.3">
      <c r="A103" t="s">
        <v>236</v>
      </c>
      <c r="B103" s="3">
        <v>45537</v>
      </c>
      <c r="C103" t="s">
        <v>231</v>
      </c>
      <c r="D103" t="s">
        <v>232</v>
      </c>
      <c r="E103" t="s">
        <v>17</v>
      </c>
      <c r="F103" t="s">
        <v>18</v>
      </c>
      <c r="G103" t="s">
        <v>19</v>
      </c>
      <c r="H103">
        <v>1</v>
      </c>
      <c r="I103">
        <v>249.99</v>
      </c>
      <c r="J103" t="s">
        <v>26</v>
      </c>
      <c r="K103" t="s">
        <v>50</v>
      </c>
      <c r="L103" t="s">
        <v>27</v>
      </c>
      <c r="M103" s="3">
        <v>44685</v>
      </c>
      <c r="N103">
        <v>249.99</v>
      </c>
    </row>
    <row r="104" spans="1:14" x14ac:dyDescent="0.3">
      <c r="A104" t="s">
        <v>237</v>
      </c>
      <c r="B104" s="3">
        <v>45537</v>
      </c>
      <c r="C104" t="s">
        <v>15</v>
      </c>
      <c r="D104" t="s">
        <v>16</v>
      </c>
      <c r="E104" t="s">
        <v>17</v>
      </c>
      <c r="F104" t="s">
        <v>18</v>
      </c>
      <c r="G104" t="s">
        <v>19</v>
      </c>
      <c r="H104">
        <v>1</v>
      </c>
      <c r="I104">
        <v>249.99</v>
      </c>
      <c r="J104" t="s">
        <v>57</v>
      </c>
      <c r="K104" t="s">
        <v>40</v>
      </c>
      <c r="L104" t="s">
        <v>27</v>
      </c>
      <c r="M104" s="3">
        <v>45332</v>
      </c>
      <c r="N104">
        <v>249.99</v>
      </c>
    </row>
    <row r="105" spans="1:14" x14ac:dyDescent="0.3">
      <c r="A105" t="s">
        <v>238</v>
      </c>
      <c r="B105" s="3">
        <v>45538</v>
      </c>
      <c r="C105" t="s">
        <v>226</v>
      </c>
      <c r="D105" t="s">
        <v>227</v>
      </c>
      <c r="E105" t="s">
        <v>80</v>
      </c>
      <c r="F105" t="s">
        <v>81</v>
      </c>
      <c r="G105" t="s">
        <v>19</v>
      </c>
      <c r="H105">
        <v>2</v>
      </c>
      <c r="I105">
        <v>699.99</v>
      </c>
      <c r="J105" t="s">
        <v>57</v>
      </c>
      <c r="K105" t="s">
        <v>21</v>
      </c>
      <c r="L105" t="s">
        <v>27</v>
      </c>
      <c r="M105" s="3">
        <v>44870</v>
      </c>
      <c r="N105">
        <v>1399.98</v>
      </c>
    </row>
    <row r="106" spans="1:14" x14ac:dyDescent="0.3">
      <c r="A106" t="s">
        <v>239</v>
      </c>
      <c r="B106" s="3">
        <v>45541</v>
      </c>
      <c r="C106" t="s">
        <v>138</v>
      </c>
      <c r="D106" t="s">
        <v>139</v>
      </c>
      <c r="E106" t="s">
        <v>31</v>
      </c>
      <c r="F106" t="s">
        <v>32</v>
      </c>
      <c r="G106" t="s">
        <v>33</v>
      </c>
      <c r="H106">
        <v>3</v>
      </c>
      <c r="I106">
        <v>59.99</v>
      </c>
      <c r="J106" t="s">
        <v>26</v>
      </c>
      <c r="K106" t="s">
        <v>21</v>
      </c>
      <c r="L106" t="s">
        <v>27</v>
      </c>
      <c r="M106" s="3">
        <v>44717</v>
      </c>
      <c r="N106">
        <v>179.97</v>
      </c>
    </row>
    <row r="107" spans="1:14" x14ac:dyDescent="0.3">
      <c r="A107" t="s">
        <v>240</v>
      </c>
      <c r="B107" s="3">
        <v>45544</v>
      </c>
      <c r="C107" t="s">
        <v>132</v>
      </c>
      <c r="D107" t="s">
        <v>133</v>
      </c>
      <c r="E107" t="s">
        <v>31</v>
      </c>
      <c r="F107" t="s">
        <v>32</v>
      </c>
      <c r="G107" t="s">
        <v>33</v>
      </c>
      <c r="H107">
        <v>3</v>
      </c>
      <c r="I107">
        <v>59.99</v>
      </c>
      <c r="J107" t="s">
        <v>34</v>
      </c>
      <c r="K107" t="s">
        <v>63</v>
      </c>
      <c r="L107" t="s">
        <v>36</v>
      </c>
      <c r="M107" s="3">
        <v>44748</v>
      </c>
      <c r="N107">
        <v>179.97</v>
      </c>
    </row>
    <row r="108" spans="1:14"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row>
    <row r="109" spans="1:14"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row>
    <row r="110" spans="1:14" x14ac:dyDescent="0.3">
      <c r="A110" t="s">
        <v>243</v>
      </c>
      <c r="B110" s="3">
        <v>45547</v>
      </c>
      <c r="C110" t="s">
        <v>48</v>
      </c>
      <c r="D110" t="s">
        <v>49</v>
      </c>
      <c r="E110" t="s">
        <v>105</v>
      </c>
      <c r="F110" t="s">
        <v>106</v>
      </c>
      <c r="G110" t="s">
        <v>46</v>
      </c>
      <c r="H110">
        <v>3</v>
      </c>
      <c r="I110">
        <v>299.99</v>
      </c>
      <c r="J110" t="s">
        <v>26</v>
      </c>
      <c r="K110" t="s">
        <v>21</v>
      </c>
      <c r="L110" t="s">
        <v>27</v>
      </c>
      <c r="M110" s="3">
        <v>44494</v>
      </c>
      <c r="N110">
        <v>899.97</v>
      </c>
    </row>
    <row r="111" spans="1:14" x14ac:dyDescent="0.3">
      <c r="A111" t="s">
        <v>244</v>
      </c>
      <c r="B111" s="3">
        <v>45548</v>
      </c>
      <c r="C111" t="s">
        <v>38</v>
      </c>
      <c r="D111" t="s">
        <v>39</v>
      </c>
      <c r="E111" t="s">
        <v>117</v>
      </c>
      <c r="F111" t="s">
        <v>118</v>
      </c>
      <c r="G111" t="s">
        <v>19</v>
      </c>
      <c r="H111">
        <v>2</v>
      </c>
      <c r="I111">
        <v>89.99</v>
      </c>
      <c r="J111" t="s">
        <v>26</v>
      </c>
      <c r="K111" t="s">
        <v>35</v>
      </c>
      <c r="L111" t="s">
        <v>27</v>
      </c>
      <c r="M111" s="3">
        <v>44641</v>
      </c>
      <c r="N111">
        <v>179.98</v>
      </c>
    </row>
    <row r="112" spans="1:14" x14ac:dyDescent="0.3">
      <c r="A112" t="s">
        <v>245</v>
      </c>
      <c r="B112" s="3">
        <v>45550</v>
      </c>
      <c r="C112" t="s">
        <v>246</v>
      </c>
      <c r="D112" t="s">
        <v>247</v>
      </c>
      <c r="E112" t="s">
        <v>52</v>
      </c>
      <c r="F112" t="s">
        <v>53</v>
      </c>
      <c r="G112" t="s">
        <v>19</v>
      </c>
      <c r="H112">
        <v>4</v>
      </c>
      <c r="I112">
        <v>149.99</v>
      </c>
      <c r="J112" t="s">
        <v>20</v>
      </c>
      <c r="K112" t="s">
        <v>40</v>
      </c>
      <c r="L112" t="s">
        <v>22</v>
      </c>
      <c r="M112" s="3">
        <v>44909</v>
      </c>
      <c r="N112">
        <v>599.96</v>
      </c>
    </row>
    <row r="113" spans="1:14" x14ac:dyDescent="0.3">
      <c r="A113" t="s">
        <v>248</v>
      </c>
      <c r="B113" s="3">
        <v>45551</v>
      </c>
      <c r="C113" t="s">
        <v>65</v>
      </c>
      <c r="D113" t="s">
        <v>66</v>
      </c>
      <c r="E113" t="s">
        <v>17</v>
      </c>
      <c r="F113" t="s">
        <v>18</v>
      </c>
      <c r="G113" t="s">
        <v>19</v>
      </c>
      <c r="H113">
        <v>2</v>
      </c>
      <c r="I113">
        <v>249.99</v>
      </c>
      <c r="J113" t="s">
        <v>34</v>
      </c>
      <c r="K113" t="s">
        <v>35</v>
      </c>
      <c r="L113" t="s">
        <v>22</v>
      </c>
      <c r="M113" s="3">
        <v>44993</v>
      </c>
      <c r="N113">
        <v>499.98</v>
      </c>
    </row>
    <row r="114" spans="1:14" x14ac:dyDescent="0.3">
      <c r="A114" t="s">
        <v>249</v>
      </c>
      <c r="B114" s="3">
        <v>45551</v>
      </c>
      <c r="C114" t="s">
        <v>154</v>
      </c>
      <c r="D114" t="s">
        <v>155</v>
      </c>
      <c r="E114" t="s">
        <v>126</v>
      </c>
      <c r="F114" t="s">
        <v>127</v>
      </c>
      <c r="G114" t="s">
        <v>46</v>
      </c>
      <c r="H114">
        <v>4</v>
      </c>
      <c r="I114">
        <v>199.99</v>
      </c>
      <c r="J114" t="s">
        <v>57</v>
      </c>
      <c r="K114" t="s">
        <v>63</v>
      </c>
      <c r="L114" t="s">
        <v>22</v>
      </c>
      <c r="M114" s="3">
        <v>44458</v>
      </c>
      <c r="N114">
        <v>799.96</v>
      </c>
    </row>
    <row r="115" spans="1:14" x14ac:dyDescent="0.3">
      <c r="A115" t="s">
        <v>250</v>
      </c>
      <c r="B115" s="3">
        <v>45554</v>
      </c>
      <c r="C115" t="s">
        <v>147</v>
      </c>
      <c r="D115" t="s">
        <v>148</v>
      </c>
      <c r="E115" t="s">
        <v>117</v>
      </c>
      <c r="F115" t="s">
        <v>118</v>
      </c>
      <c r="G115" t="s">
        <v>19</v>
      </c>
      <c r="H115">
        <v>5</v>
      </c>
      <c r="I115">
        <v>89.99</v>
      </c>
      <c r="J115" t="s">
        <v>26</v>
      </c>
      <c r="K115" t="s">
        <v>63</v>
      </c>
      <c r="L115" t="s">
        <v>27</v>
      </c>
      <c r="M115" s="3">
        <v>44446</v>
      </c>
      <c r="N115">
        <v>449.95</v>
      </c>
    </row>
    <row r="116" spans="1:14" x14ac:dyDescent="0.3">
      <c r="A116" t="s">
        <v>251</v>
      </c>
      <c r="B116" s="3">
        <v>45554</v>
      </c>
      <c r="C116" t="s">
        <v>252</v>
      </c>
      <c r="D116" t="s">
        <v>253</v>
      </c>
      <c r="E116" t="s">
        <v>52</v>
      </c>
      <c r="F116" t="s">
        <v>53</v>
      </c>
      <c r="G116" t="s">
        <v>19</v>
      </c>
      <c r="H116">
        <v>1</v>
      </c>
      <c r="I116">
        <v>149.99</v>
      </c>
      <c r="J116" t="s">
        <v>34</v>
      </c>
      <c r="K116" t="s">
        <v>63</v>
      </c>
      <c r="L116" t="s">
        <v>36</v>
      </c>
      <c r="M116" s="3">
        <v>44482</v>
      </c>
      <c r="N116">
        <v>149.99</v>
      </c>
    </row>
    <row r="117" spans="1:14" x14ac:dyDescent="0.3">
      <c r="A117" t="s">
        <v>254</v>
      </c>
      <c r="B117" s="3">
        <v>45554</v>
      </c>
      <c r="C117" t="s">
        <v>72</v>
      </c>
      <c r="D117" t="s">
        <v>73</v>
      </c>
      <c r="E117" t="s">
        <v>80</v>
      </c>
      <c r="F117" t="s">
        <v>81</v>
      </c>
      <c r="G117" t="s">
        <v>19</v>
      </c>
      <c r="H117">
        <v>4</v>
      </c>
      <c r="I117">
        <v>699.99</v>
      </c>
      <c r="J117" t="s">
        <v>34</v>
      </c>
      <c r="K117" t="s">
        <v>35</v>
      </c>
      <c r="L117" t="s">
        <v>22</v>
      </c>
      <c r="M117" s="3">
        <v>44618</v>
      </c>
      <c r="N117">
        <v>2799.96</v>
      </c>
    </row>
    <row r="118" spans="1:14" x14ac:dyDescent="0.3">
      <c r="A118" t="s">
        <v>255</v>
      </c>
      <c r="B118" s="3">
        <v>45559</v>
      </c>
      <c r="C118" t="s">
        <v>234</v>
      </c>
      <c r="D118" t="s">
        <v>235</v>
      </c>
      <c r="E118" t="s">
        <v>61</v>
      </c>
      <c r="F118" t="s">
        <v>62</v>
      </c>
      <c r="G118" t="s">
        <v>19</v>
      </c>
      <c r="H118">
        <v>3</v>
      </c>
      <c r="I118">
        <v>899.99</v>
      </c>
      <c r="J118" t="s">
        <v>26</v>
      </c>
      <c r="K118" t="s">
        <v>40</v>
      </c>
      <c r="L118" t="s">
        <v>36</v>
      </c>
      <c r="M118" s="3">
        <v>45157</v>
      </c>
      <c r="N118">
        <v>2699.97</v>
      </c>
    </row>
    <row r="119" spans="1:14" x14ac:dyDescent="0.3">
      <c r="A119" t="s">
        <v>256</v>
      </c>
      <c r="B119" s="3">
        <v>45560</v>
      </c>
      <c r="C119" t="s">
        <v>112</v>
      </c>
      <c r="D119" t="s">
        <v>113</v>
      </c>
      <c r="E119" t="s">
        <v>44</v>
      </c>
      <c r="F119" t="s">
        <v>45</v>
      </c>
      <c r="G119" t="s">
        <v>46</v>
      </c>
      <c r="H119">
        <v>3</v>
      </c>
      <c r="I119">
        <v>149.99</v>
      </c>
      <c r="J119" t="s">
        <v>34</v>
      </c>
      <c r="K119" t="s">
        <v>63</v>
      </c>
      <c r="L119" t="s">
        <v>22</v>
      </c>
      <c r="M119" s="3">
        <v>44886</v>
      </c>
      <c r="N119">
        <v>449.97</v>
      </c>
    </row>
    <row r="120" spans="1:14" x14ac:dyDescent="0.3">
      <c r="A120" t="s">
        <v>257</v>
      </c>
      <c r="B120" s="3">
        <v>45563</v>
      </c>
      <c r="C120" t="s">
        <v>99</v>
      </c>
      <c r="D120" t="s">
        <v>100</v>
      </c>
      <c r="E120" t="s">
        <v>105</v>
      </c>
      <c r="F120" t="s">
        <v>106</v>
      </c>
      <c r="G120" t="s">
        <v>46</v>
      </c>
      <c r="H120">
        <v>2</v>
      </c>
      <c r="I120">
        <v>299.99</v>
      </c>
      <c r="J120" t="s">
        <v>57</v>
      </c>
      <c r="K120" t="s">
        <v>21</v>
      </c>
      <c r="L120" t="s">
        <v>22</v>
      </c>
      <c r="M120" s="3">
        <v>44569</v>
      </c>
      <c r="N120">
        <v>599.98</v>
      </c>
    </row>
    <row r="121" spans="1:14" x14ac:dyDescent="0.3">
      <c r="A121" t="s">
        <v>258</v>
      </c>
      <c r="B121" s="3">
        <v>45564</v>
      </c>
      <c r="C121" t="s">
        <v>259</v>
      </c>
      <c r="D121" t="s">
        <v>260</v>
      </c>
      <c r="E121" t="s">
        <v>126</v>
      </c>
      <c r="F121" t="s">
        <v>127</v>
      </c>
      <c r="G121" t="s">
        <v>46</v>
      </c>
      <c r="H121">
        <v>1</v>
      </c>
      <c r="I121">
        <v>199.99</v>
      </c>
      <c r="J121" t="s">
        <v>57</v>
      </c>
      <c r="K121" t="s">
        <v>63</v>
      </c>
      <c r="L121" t="s">
        <v>36</v>
      </c>
      <c r="M121" s="3">
        <v>44953</v>
      </c>
      <c r="N121">
        <v>199.99</v>
      </c>
    </row>
    <row r="122" spans="1:14" x14ac:dyDescent="0.3">
      <c r="A122" t="s">
        <v>261</v>
      </c>
      <c r="B122" s="3">
        <v>45566</v>
      </c>
      <c r="C122" t="s">
        <v>42</v>
      </c>
      <c r="D122" t="s">
        <v>43</v>
      </c>
      <c r="E122" t="s">
        <v>105</v>
      </c>
      <c r="F122" t="s">
        <v>106</v>
      </c>
      <c r="G122" t="s">
        <v>46</v>
      </c>
      <c r="H122">
        <v>4</v>
      </c>
      <c r="I122">
        <v>299.99</v>
      </c>
      <c r="J122" t="s">
        <v>20</v>
      </c>
      <c r="K122" t="s">
        <v>21</v>
      </c>
      <c r="L122" t="s">
        <v>27</v>
      </c>
      <c r="M122" s="3">
        <v>44460</v>
      </c>
      <c r="N122">
        <v>1199.96</v>
      </c>
    </row>
    <row r="123" spans="1:14" x14ac:dyDescent="0.3">
      <c r="A123" t="s">
        <v>262</v>
      </c>
      <c r="B123" s="3">
        <v>45572</v>
      </c>
      <c r="C123" t="s">
        <v>89</v>
      </c>
      <c r="D123" t="s">
        <v>90</v>
      </c>
      <c r="E123" t="s">
        <v>31</v>
      </c>
      <c r="F123" t="s">
        <v>32</v>
      </c>
      <c r="G123" t="s">
        <v>33</v>
      </c>
      <c r="H123">
        <v>2</v>
      </c>
      <c r="I123">
        <v>59.99</v>
      </c>
      <c r="J123" t="s">
        <v>26</v>
      </c>
      <c r="K123" t="s">
        <v>21</v>
      </c>
      <c r="L123" t="s">
        <v>22</v>
      </c>
      <c r="M123" s="3">
        <v>44579</v>
      </c>
      <c r="N123">
        <v>119.98</v>
      </c>
    </row>
    <row r="124" spans="1:14" x14ac:dyDescent="0.3">
      <c r="A124" t="s">
        <v>263</v>
      </c>
      <c r="B124" s="3">
        <v>45572</v>
      </c>
      <c r="C124" t="s">
        <v>234</v>
      </c>
      <c r="D124" t="s">
        <v>235</v>
      </c>
      <c r="E124" t="s">
        <v>52</v>
      </c>
      <c r="F124" t="s">
        <v>53</v>
      </c>
      <c r="G124" t="s">
        <v>19</v>
      </c>
      <c r="H124">
        <v>4</v>
      </c>
      <c r="I124">
        <v>149.99</v>
      </c>
      <c r="J124" t="s">
        <v>26</v>
      </c>
      <c r="K124" t="s">
        <v>40</v>
      </c>
      <c r="L124" t="s">
        <v>27</v>
      </c>
      <c r="M124" s="3">
        <v>45076</v>
      </c>
      <c r="N124">
        <v>599.96</v>
      </c>
    </row>
    <row r="125" spans="1:14" x14ac:dyDescent="0.3">
      <c r="A125" t="s">
        <v>264</v>
      </c>
      <c r="B125" s="3">
        <v>45573</v>
      </c>
      <c r="C125" t="s">
        <v>211</v>
      </c>
      <c r="D125" t="s">
        <v>212</v>
      </c>
      <c r="E125" t="s">
        <v>80</v>
      </c>
      <c r="F125" t="s">
        <v>81</v>
      </c>
      <c r="G125" t="s">
        <v>19</v>
      </c>
      <c r="H125">
        <v>2</v>
      </c>
      <c r="I125">
        <v>699.99</v>
      </c>
      <c r="J125" t="s">
        <v>57</v>
      </c>
      <c r="K125" t="s">
        <v>63</v>
      </c>
      <c r="L125" t="s">
        <v>27</v>
      </c>
      <c r="M125" s="3">
        <v>45274</v>
      </c>
      <c r="N125">
        <v>1399.98</v>
      </c>
    </row>
    <row r="126" spans="1:14" x14ac:dyDescent="0.3">
      <c r="A126" t="s">
        <v>265</v>
      </c>
      <c r="B126" s="3">
        <v>45573</v>
      </c>
      <c r="C126" t="s">
        <v>231</v>
      </c>
      <c r="D126" t="s">
        <v>232</v>
      </c>
      <c r="E126" t="s">
        <v>44</v>
      </c>
      <c r="F126" t="s">
        <v>45</v>
      </c>
      <c r="G126" t="s">
        <v>46</v>
      </c>
      <c r="H126">
        <v>3</v>
      </c>
      <c r="I126">
        <v>149.99</v>
      </c>
      <c r="J126" t="s">
        <v>26</v>
      </c>
      <c r="K126" t="s">
        <v>35</v>
      </c>
      <c r="L126" t="s">
        <v>36</v>
      </c>
      <c r="M126" s="3">
        <v>44940</v>
      </c>
      <c r="N126">
        <v>449.97</v>
      </c>
    </row>
    <row r="127" spans="1:14" x14ac:dyDescent="0.3">
      <c r="A127" t="s">
        <v>266</v>
      </c>
      <c r="B127" s="3">
        <v>45576</v>
      </c>
      <c r="C127" t="s">
        <v>147</v>
      </c>
      <c r="D127" t="s">
        <v>148</v>
      </c>
      <c r="E127" t="s">
        <v>105</v>
      </c>
      <c r="F127" t="s">
        <v>106</v>
      </c>
      <c r="G127" t="s">
        <v>46</v>
      </c>
      <c r="H127">
        <v>3</v>
      </c>
      <c r="I127">
        <v>299.99</v>
      </c>
      <c r="J127" t="s">
        <v>26</v>
      </c>
      <c r="K127" t="s">
        <v>21</v>
      </c>
      <c r="L127" t="s">
        <v>36</v>
      </c>
      <c r="M127" s="3">
        <v>45174</v>
      </c>
      <c r="N127">
        <v>899.97</v>
      </c>
    </row>
    <row r="128" spans="1:14" x14ac:dyDescent="0.3">
      <c r="A128" t="s">
        <v>267</v>
      </c>
      <c r="B128" s="3">
        <v>45579</v>
      </c>
      <c r="C128" t="s">
        <v>83</v>
      </c>
      <c r="D128" t="s">
        <v>84</v>
      </c>
      <c r="E128" t="s">
        <v>61</v>
      </c>
      <c r="F128" t="s">
        <v>62</v>
      </c>
      <c r="G128" t="s">
        <v>19</v>
      </c>
      <c r="H128">
        <v>3</v>
      </c>
      <c r="I128">
        <v>899.99</v>
      </c>
      <c r="J128" t="s">
        <v>34</v>
      </c>
      <c r="K128" t="s">
        <v>50</v>
      </c>
      <c r="L128" t="s">
        <v>22</v>
      </c>
      <c r="M128" s="3">
        <v>45215</v>
      </c>
      <c r="N128">
        <v>2699.97</v>
      </c>
    </row>
    <row r="129" spans="1:14" x14ac:dyDescent="0.3">
      <c r="A129" t="s">
        <v>268</v>
      </c>
      <c r="B129" s="3">
        <v>45581</v>
      </c>
      <c r="C129" t="s">
        <v>96</v>
      </c>
      <c r="D129" t="s">
        <v>97</v>
      </c>
      <c r="E129" t="s">
        <v>80</v>
      </c>
      <c r="F129" t="s">
        <v>81</v>
      </c>
      <c r="G129" t="s">
        <v>19</v>
      </c>
      <c r="H129">
        <v>5</v>
      </c>
      <c r="I129">
        <v>699.99</v>
      </c>
      <c r="J129" t="s">
        <v>20</v>
      </c>
      <c r="K129" t="s">
        <v>63</v>
      </c>
      <c r="L129" t="s">
        <v>36</v>
      </c>
      <c r="M129" s="3">
        <v>45008</v>
      </c>
      <c r="N129">
        <v>3499.95</v>
      </c>
    </row>
    <row r="130" spans="1:14" x14ac:dyDescent="0.3">
      <c r="A130" t="s">
        <v>269</v>
      </c>
      <c r="B130" s="3">
        <v>45581</v>
      </c>
      <c r="C130" t="s">
        <v>171</v>
      </c>
      <c r="D130" t="s">
        <v>172</v>
      </c>
      <c r="E130" t="s">
        <v>80</v>
      </c>
      <c r="F130" t="s">
        <v>81</v>
      </c>
      <c r="G130" t="s">
        <v>19</v>
      </c>
      <c r="H130">
        <v>4</v>
      </c>
      <c r="I130">
        <v>699.99</v>
      </c>
      <c r="J130" t="s">
        <v>26</v>
      </c>
      <c r="K130" t="s">
        <v>21</v>
      </c>
      <c r="L130" t="s">
        <v>22</v>
      </c>
      <c r="M130" s="3">
        <v>45385</v>
      </c>
      <c r="N130">
        <v>2799.96</v>
      </c>
    </row>
    <row r="131" spans="1:14" x14ac:dyDescent="0.3">
      <c r="A131" t="s">
        <v>270</v>
      </c>
      <c r="B131" s="3">
        <v>45581</v>
      </c>
      <c r="C131" t="s">
        <v>150</v>
      </c>
      <c r="D131" t="s">
        <v>151</v>
      </c>
      <c r="E131" t="s">
        <v>61</v>
      </c>
      <c r="F131" t="s">
        <v>62</v>
      </c>
      <c r="G131" t="s">
        <v>19</v>
      </c>
      <c r="H131">
        <v>1</v>
      </c>
      <c r="I131">
        <v>899.99</v>
      </c>
      <c r="J131" t="s">
        <v>26</v>
      </c>
      <c r="K131" t="s">
        <v>63</v>
      </c>
      <c r="L131" t="s">
        <v>36</v>
      </c>
      <c r="M131" s="3">
        <v>45369</v>
      </c>
      <c r="N131">
        <v>899.99</v>
      </c>
    </row>
    <row r="132" spans="1:14" x14ac:dyDescent="0.3">
      <c r="A132" t="s">
        <v>271</v>
      </c>
      <c r="B132" s="3">
        <v>45583</v>
      </c>
      <c r="C132" t="s">
        <v>226</v>
      </c>
      <c r="D132" t="s">
        <v>227</v>
      </c>
      <c r="E132" t="s">
        <v>52</v>
      </c>
      <c r="F132" t="s">
        <v>53</v>
      </c>
      <c r="G132" t="s">
        <v>19</v>
      </c>
      <c r="H132">
        <v>2</v>
      </c>
      <c r="I132">
        <v>149.99</v>
      </c>
      <c r="J132" t="s">
        <v>26</v>
      </c>
      <c r="K132" t="s">
        <v>50</v>
      </c>
      <c r="L132" t="s">
        <v>22</v>
      </c>
      <c r="M132" s="3">
        <v>44916</v>
      </c>
      <c r="N132">
        <v>299.98</v>
      </c>
    </row>
    <row r="133" spans="1:14"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row>
    <row r="134" spans="1:14" x14ac:dyDescent="0.3">
      <c r="A134" t="s">
        <v>273</v>
      </c>
      <c r="B134" s="3">
        <v>45588</v>
      </c>
      <c r="C134" t="s">
        <v>38</v>
      </c>
      <c r="D134" t="s">
        <v>39</v>
      </c>
      <c r="E134" t="s">
        <v>52</v>
      </c>
      <c r="F134" t="s">
        <v>53</v>
      </c>
      <c r="G134" t="s">
        <v>19</v>
      </c>
      <c r="H134">
        <v>2</v>
      </c>
      <c r="I134">
        <v>149.99</v>
      </c>
      <c r="J134" t="s">
        <v>34</v>
      </c>
      <c r="K134" t="s">
        <v>21</v>
      </c>
      <c r="L134" t="s">
        <v>22</v>
      </c>
      <c r="M134" s="3">
        <v>44473</v>
      </c>
      <c r="N134">
        <v>299.98</v>
      </c>
    </row>
    <row r="135" spans="1:14" x14ac:dyDescent="0.3">
      <c r="A135" t="s">
        <v>274</v>
      </c>
      <c r="B135" s="3">
        <v>45588</v>
      </c>
      <c r="C135" t="s">
        <v>154</v>
      </c>
      <c r="D135" t="s">
        <v>155</v>
      </c>
      <c r="E135" t="s">
        <v>80</v>
      </c>
      <c r="F135" t="s">
        <v>81</v>
      </c>
      <c r="G135" t="s">
        <v>19</v>
      </c>
      <c r="H135">
        <v>2</v>
      </c>
      <c r="I135">
        <v>699.99</v>
      </c>
      <c r="J135" t="s">
        <v>20</v>
      </c>
      <c r="K135" t="s">
        <v>21</v>
      </c>
      <c r="L135" t="s">
        <v>22</v>
      </c>
      <c r="M135" s="3">
        <v>44992</v>
      </c>
      <c r="N135">
        <v>1399.98</v>
      </c>
    </row>
    <row r="136" spans="1:14" x14ac:dyDescent="0.3">
      <c r="A136" t="s">
        <v>275</v>
      </c>
      <c r="B136" s="3">
        <v>45589</v>
      </c>
      <c r="C136" t="s">
        <v>158</v>
      </c>
      <c r="D136" t="s">
        <v>159</v>
      </c>
      <c r="E136" t="s">
        <v>80</v>
      </c>
      <c r="F136" t="s">
        <v>81</v>
      </c>
      <c r="G136" t="s">
        <v>19</v>
      </c>
      <c r="H136">
        <v>5</v>
      </c>
      <c r="I136">
        <v>699.99</v>
      </c>
      <c r="J136" t="s">
        <v>20</v>
      </c>
      <c r="K136" t="s">
        <v>40</v>
      </c>
      <c r="L136" t="s">
        <v>27</v>
      </c>
      <c r="M136" s="3">
        <v>44635</v>
      </c>
      <c r="N136">
        <v>3499.95</v>
      </c>
    </row>
    <row r="137" spans="1:14"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row>
    <row r="138" spans="1:14" x14ac:dyDescent="0.3">
      <c r="A138" t="s">
        <v>277</v>
      </c>
      <c r="B138" s="3">
        <v>45597</v>
      </c>
      <c r="C138" t="s">
        <v>15</v>
      </c>
      <c r="D138" t="s">
        <v>16</v>
      </c>
      <c r="E138" t="s">
        <v>17</v>
      </c>
      <c r="F138" t="s">
        <v>18</v>
      </c>
      <c r="G138" t="s">
        <v>19</v>
      </c>
      <c r="H138">
        <v>5</v>
      </c>
      <c r="I138">
        <v>249.99</v>
      </c>
      <c r="J138" t="s">
        <v>26</v>
      </c>
      <c r="K138" t="s">
        <v>35</v>
      </c>
      <c r="L138" t="s">
        <v>36</v>
      </c>
      <c r="M138" s="3">
        <v>44881</v>
      </c>
      <c r="N138">
        <v>1249.95</v>
      </c>
    </row>
    <row r="139" spans="1:14" x14ac:dyDescent="0.3">
      <c r="A139" t="s">
        <v>278</v>
      </c>
      <c r="B139" s="3">
        <v>45600</v>
      </c>
      <c r="C139" t="s">
        <v>65</v>
      </c>
      <c r="D139" t="s">
        <v>66</v>
      </c>
      <c r="E139" t="s">
        <v>105</v>
      </c>
      <c r="F139" t="s">
        <v>106</v>
      </c>
      <c r="G139" t="s">
        <v>46</v>
      </c>
      <c r="H139">
        <v>3</v>
      </c>
      <c r="I139">
        <v>299.99</v>
      </c>
      <c r="J139" t="s">
        <v>26</v>
      </c>
      <c r="K139" t="s">
        <v>35</v>
      </c>
      <c r="L139" t="s">
        <v>36</v>
      </c>
      <c r="M139" s="3">
        <v>44502</v>
      </c>
      <c r="N139">
        <v>899.97</v>
      </c>
    </row>
    <row r="140" spans="1:14"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row>
    <row r="141" spans="1:14" x14ac:dyDescent="0.3">
      <c r="A141" t="s">
        <v>280</v>
      </c>
      <c r="B141" s="3">
        <v>45604</v>
      </c>
      <c r="C141" t="s">
        <v>89</v>
      </c>
      <c r="D141" t="s">
        <v>90</v>
      </c>
      <c r="E141" t="s">
        <v>44</v>
      </c>
      <c r="F141" t="s">
        <v>45</v>
      </c>
      <c r="G141" t="s">
        <v>46</v>
      </c>
      <c r="H141">
        <v>2</v>
      </c>
      <c r="I141">
        <v>149.99</v>
      </c>
      <c r="J141" t="s">
        <v>26</v>
      </c>
      <c r="K141" t="s">
        <v>50</v>
      </c>
      <c r="L141" t="s">
        <v>27</v>
      </c>
      <c r="M141" s="3">
        <v>44848</v>
      </c>
      <c r="N141">
        <v>299.98</v>
      </c>
    </row>
    <row r="142" spans="1:14" x14ac:dyDescent="0.3">
      <c r="A142" t="s">
        <v>281</v>
      </c>
      <c r="B142" s="3">
        <v>45605</v>
      </c>
      <c r="C142" t="s">
        <v>185</v>
      </c>
      <c r="D142" t="s">
        <v>186</v>
      </c>
      <c r="E142" t="s">
        <v>17</v>
      </c>
      <c r="F142" t="s">
        <v>18</v>
      </c>
      <c r="G142" t="s">
        <v>19</v>
      </c>
      <c r="H142">
        <v>1</v>
      </c>
      <c r="I142">
        <v>249.99</v>
      </c>
      <c r="J142" t="s">
        <v>26</v>
      </c>
      <c r="K142" t="s">
        <v>40</v>
      </c>
      <c r="L142" t="s">
        <v>27</v>
      </c>
      <c r="M142" s="3">
        <v>44828</v>
      </c>
      <c r="N142">
        <v>249.99</v>
      </c>
    </row>
    <row r="143" spans="1:14" x14ac:dyDescent="0.3">
      <c r="A143" t="s">
        <v>282</v>
      </c>
      <c r="B143" s="3">
        <v>45607</v>
      </c>
      <c r="C143" t="s">
        <v>72</v>
      </c>
      <c r="D143" t="s">
        <v>73</v>
      </c>
      <c r="E143" t="s">
        <v>52</v>
      </c>
      <c r="F143" t="s">
        <v>53</v>
      </c>
      <c r="G143" t="s">
        <v>19</v>
      </c>
      <c r="H143">
        <v>3</v>
      </c>
      <c r="I143">
        <v>149.99</v>
      </c>
      <c r="J143" t="s">
        <v>20</v>
      </c>
      <c r="K143" t="s">
        <v>40</v>
      </c>
      <c r="L143" t="s">
        <v>22</v>
      </c>
      <c r="M143" s="3">
        <v>44769</v>
      </c>
      <c r="N143">
        <v>449.97</v>
      </c>
    </row>
    <row r="144" spans="1:14" x14ac:dyDescent="0.3">
      <c r="A144" t="s">
        <v>283</v>
      </c>
      <c r="B144" s="3">
        <v>45607</v>
      </c>
      <c r="C144" t="s">
        <v>15</v>
      </c>
      <c r="D144" t="s">
        <v>16</v>
      </c>
      <c r="E144" t="s">
        <v>31</v>
      </c>
      <c r="F144" t="s">
        <v>32</v>
      </c>
      <c r="G144" t="s">
        <v>33</v>
      </c>
      <c r="H144">
        <v>5</v>
      </c>
      <c r="I144">
        <v>59.99</v>
      </c>
      <c r="J144" t="s">
        <v>34</v>
      </c>
      <c r="K144" t="s">
        <v>50</v>
      </c>
      <c r="L144" t="s">
        <v>27</v>
      </c>
      <c r="M144" s="3">
        <v>44694</v>
      </c>
      <c r="N144">
        <v>299.95</v>
      </c>
    </row>
    <row r="145" spans="1:14" x14ac:dyDescent="0.3">
      <c r="A145" t="s">
        <v>284</v>
      </c>
      <c r="B145" s="3">
        <v>45607</v>
      </c>
      <c r="C145" t="s">
        <v>99</v>
      </c>
      <c r="D145" t="s">
        <v>100</v>
      </c>
      <c r="E145" t="s">
        <v>17</v>
      </c>
      <c r="F145" t="s">
        <v>18</v>
      </c>
      <c r="G145" t="s">
        <v>19</v>
      </c>
      <c r="H145">
        <v>4</v>
      </c>
      <c r="I145">
        <v>249.99</v>
      </c>
      <c r="J145" t="s">
        <v>26</v>
      </c>
      <c r="K145" t="s">
        <v>50</v>
      </c>
      <c r="L145" t="s">
        <v>36</v>
      </c>
      <c r="M145" s="3">
        <v>44659</v>
      </c>
      <c r="N145">
        <v>999.96</v>
      </c>
    </row>
    <row r="146" spans="1:14" x14ac:dyDescent="0.3">
      <c r="A146" t="s">
        <v>285</v>
      </c>
      <c r="B146" s="3">
        <v>45608</v>
      </c>
      <c r="C146" t="s">
        <v>154</v>
      </c>
      <c r="D146" t="s">
        <v>155</v>
      </c>
      <c r="E146" t="s">
        <v>44</v>
      </c>
      <c r="F146" t="s">
        <v>45</v>
      </c>
      <c r="G146" t="s">
        <v>46</v>
      </c>
      <c r="H146">
        <v>5</v>
      </c>
      <c r="I146">
        <v>149.99</v>
      </c>
      <c r="J146" t="s">
        <v>34</v>
      </c>
      <c r="K146" t="s">
        <v>21</v>
      </c>
      <c r="L146" t="s">
        <v>22</v>
      </c>
      <c r="M146" s="3">
        <v>44901</v>
      </c>
      <c r="N146">
        <v>749.95</v>
      </c>
    </row>
    <row r="147" spans="1:14" x14ac:dyDescent="0.3">
      <c r="A147" t="s">
        <v>286</v>
      </c>
      <c r="B147" s="3">
        <v>45608</v>
      </c>
      <c r="C147" t="s">
        <v>83</v>
      </c>
      <c r="D147" t="s">
        <v>84</v>
      </c>
      <c r="E147" t="s">
        <v>31</v>
      </c>
      <c r="F147" t="s">
        <v>32</v>
      </c>
      <c r="G147" t="s">
        <v>33</v>
      </c>
      <c r="H147">
        <v>3</v>
      </c>
      <c r="I147">
        <v>59.99</v>
      </c>
      <c r="J147" t="s">
        <v>57</v>
      </c>
      <c r="K147" t="s">
        <v>35</v>
      </c>
      <c r="L147" t="s">
        <v>36</v>
      </c>
      <c r="M147" s="3">
        <v>45260</v>
      </c>
      <c r="N147">
        <v>179.97</v>
      </c>
    </row>
    <row r="148" spans="1:14" x14ac:dyDescent="0.3">
      <c r="A148" t="s">
        <v>287</v>
      </c>
      <c r="B148" s="3">
        <v>45613</v>
      </c>
      <c r="C148" t="s">
        <v>234</v>
      </c>
      <c r="D148" t="s">
        <v>235</v>
      </c>
      <c r="E148" t="s">
        <v>44</v>
      </c>
      <c r="F148" t="s">
        <v>45</v>
      </c>
      <c r="G148" t="s">
        <v>46</v>
      </c>
      <c r="H148">
        <v>5</v>
      </c>
      <c r="I148">
        <v>149.99</v>
      </c>
      <c r="J148" t="s">
        <v>20</v>
      </c>
      <c r="K148" t="s">
        <v>40</v>
      </c>
      <c r="L148" t="s">
        <v>22</v>
      </c>
      <c r="M148" s="3">
        <v>44869</v>
      </c>
      <c r="N148">
        <v>749.95</v>
      </c>
    </row>
    <row r="149" spans="1:14" x14ac:dyDescent="0.3">
      <c r="A149" t="s">
        <v>288</v>
      </c>
      <c r="B149" s="3">
        <v>45613</v>
      </c>
      <c r="C149" t="s">
        <v>86</v>
      </c>
      <c r="D149" t="s">
        <v>87</v>
      </c>
      <c r="E149" t="s">
        <v>80</v>
      </c>
      <c r="F149" t="s">
        <v>81</v>
      </c>
      <c r="G149" t="s">
        <v>19</v>
      </c>
      <c r="H149">
        <v>2</v>
      </c>
      <c r="I149">
        <v>699.99</v>
      </c>
      <c r="J149" t="s">
        <v>34</v>
      </c>
      <c r="K149" t="s">
        <v>50</v>
      </c>
      <c r="L149" t="s">
        <v>36</v>
      </c>
      <c r="M149" s="3">
        <v>44770</v>
      </c>
      <c r="N149">
        <v>1399.98</v>
      </c>
    </row>
    <row r="150" spans="1:14" x14ac:dyDescent="0.3">
      <c r="A150" t="s">
        <v>289</v>
      </c>
      <c r="B150" s="3">
        <v>45617</v>
      </c>
      <c r="C150" t="s">
        <v>123</v>
      </c>
      <c r="D150" t="s">
        <v>124</v>
      </c>
      <c r="E150" t="s">
        <v>126</v>
      </c>
      <c r="F150" t="s">
        <v>127</v>
      </c>
      <c r="G150" t="s">
        <v>46</v>
      </c>
      <c r="H150">
        <v>4</v>
      </c>
      <c r="I150">
        <v>199.99</v>
      </c>
      <c r="J150" t="s">
        <v>57</v>
      </c>
      <c r="K150" t="s">
        <v>21</v>
      </c>
      <c r="L150" t="s">
        <v>27</v>
      </c>
      <c r="M150" s="3">
        <v>44427</v>
      </c>
      <c r="N150">
        <v>799.96</v>
      </c>
    </row>
    <row r="151" spans="1:14" x14ac:dyDescent="0.3">
      <c r="A151" t="s">
        <v>290</v>
      </c>
      <c r="B151" s="3">
        <v>45619</v>
      </c>
      <c r="C151" t="s">
        <v>192</v>
      </c>
      <c r="D151" t="s">
        <v>193</v>
      </c>
      <c r="E151" t="s">
        <v>31</v>
      </c>
      <c r="F151" t="s">
        <v>32</v>
      </c>
      <c r="G151" t="s">
        <v>33</v>
      </c>
      <c r="H151">
        <v>1</v>
      </c>
      <c r="I151">
        <v>59.99</v>
      </c>
      <c r="J151" t="s">
        <v>57</v>
      </c>
      <c r="K151" t="s">
        <v>50</v>
      </c>
      <c r="L151" t="s">
        <v>36</v>
      </c>
      <c r="M151" s="3">
        <v>44560</v>
      </c>
      <c r="N151">
        <v>59.99</v>
      </c>
    </row>
    <row r="152" spans="1:14"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row>
    <row r="153" spans="1:14" x14ac:dyDescent="0.3">
      <c r="A153" t="s">
        <v>292</v>
      </c>
      <c r="B153" s="3">
        <v>45622</v>
      </c>
      <c r="C153" t="s">
        <v>293</v>
      </c>
      <c r="D153" t="s">
        <v>294</v>
      </c>
      <c r="E153" t="s">
        <v>17</v>
      </c>
      <c r="F153" t="s">
        <v>18</v>
      </c>
      <c r="G153" t="s">
        <v>19</v>
      </c>
      <c r="H153">
        <v>5</v>
      </c>
      <c r="I153">
        <v>249.99</v>
      </c>
      <c r="J153" t="s">
        <v>26</v>
      </c>
      <c r="K153" t="s">
        <v>40</v>
      </c>
      <c r="L153" t="s">
        <v>22</v>
      </c>
      <c r="M153" s="3">
        <v>44873</v>
      </c>
      <c r="N153">
        <v>1249.95</v>
      </c>
    </row>
    <row r="154" spans="1:14" x14ac:dyDescent="0.3">
      <c r="A154" t="s">
        <v>295</v>
      </c>
      <c r="B154" s="3">
        <v>45623</v>
      </c>
      <c r="C154" t="s">
        <v>112</v>
      </c>
      <c r="D154" t="s">
        <v>113</v>
      </c>
      <c r="E154" t="s">
        <v>44</v>
      </c>
      <c r="F154" t="s">
        <v>45</v>
      </c>
      <c r="G154" t="s">
        <v>46</v>
      </c>
      <c r="H154">
        <v>2</v>
      </c>
      <c r="I154">
        <v>149.99</v>
      </c>
      <c r="J154" t="s">
        <v>20</v>
      </c>
      <c r="K154" t="s">
        <v>35</v>
      </c>
      <c r="L154" t="s">
        <v>36</v>
      </c>
      <c r="M154" s="3">
        <v>45101</v>
      </c>
      <c r="N154">
        <v>299.98</v>
      </c>
    </row>
    <row r="155" spans="1:14" x14ac:dyDescent="0.3">
      <c r="A155" t="s">
        <v>296</v>
      </c>
      <c r="B155" s="3">
        <v>45627</v>
      </c>
      <c r="C155" t="s">
        <v>29</v>
      </c>
      <c r="D155" t="s">
        <v>30</v>
      </c>
      <c r="E155" t="s">
        <v>105</v>
      </c>
      <c r="F155" t="s">
        <v>106</v>
      </c>
      <c r="G155" t="s">
        <v>46</v>
      </c>
      <c r="H155">
        <v>3</v>
      </c>
      <c r="I155">
        <v>299.99</v>
      </c>
      <c r="J155" t="s">
        <v>20</v>
      </c>
      <c r="K155" t="s">
        <v>35</v>
      </c>
      <c r="L155" t="s">
        <v>27</v>
      </c>
      <c r="M155" s="3">
        <v>44659</v>
      </c>
      <c r="N155">
        <v>899.97</v>
      </c>
    </row>
    <row r="156" spans="1:14" x14ac:dyDescent="0.3">
      <c r="A156" t="s">
        <v>297</v>
      </c>
      <c r="B156" s="3">
        <v>45627</v>
      </c>
      <c r="C156" t="s">
        <v>55</v>
      </c>
      <c r="D156" t="s">
        <v>56</v>
      </c>
      <c r="E156" t="s">
        <v>17</v>
      </c>
      <c r="F156" t="s">
        <v>18</v>
      </c>
      <c r="G156" t="s">
        <v>19</v>
      </c>
      <c r="H156">
        <v>5</v>
      </c>
      <c r="I156">
        <v>249.99</v>
      </c>
      <c r="J156" t="s">
        <v>20</v>
      </c>
      <c r="K156" t="s">
        <v>21</v>
      </c>
      <c r="L156" t="s">
        <v>27</v>
      </c>
      <c r="M156" s="3">
        <v>44485</v>
      </c>
      <c r="N156">
        <v>1249.95</v>
      </c>
    </row>
    <row r="157" spans="1:14" x14ac:dyDescent="0.3">
      <c r="A157" t="s">
        <v>298</v>
      </c>
      <c r="B157" s="3">
        <v>45627</v>
      </c>
      <c r="C157" t="s">
        <v>24</v>
      </c>
      <c r="D157" t="s">
        <v>25</v>
      </c>
      <c r="E157" t="s">
        <v>52</v>
      </c>
      <c r="F157" t="s">
        <v>53</v>
      </c>
      <c r="G157" t="s">
        <v>19</v>
      </c>
      <c r="H157">
        <v>2</v>
      </c>
      <c r="I157">
        <v>149.99</v>
      </c>
      <c r="J157" t="s">
        <v>20</v>
      </c>
      <c r="K157" t="s">
        <v>35</v>
      </c>
      <c r="L157" t="s">
        <v>27</v>
      </c>
      <c r="M157" s="3">
        <v>44475</v>
      </c>
      <c r="N157">
        <v>299.98</v>
      </c>
    </row>
    <row r="158" spans="1:14" x14ac:dyDescent="0.3">
      <c r="A158" t="s">
        <v>299</v>
      </c>
      <c r="B158" s="3">
        <v>45627</v>
      </c>
      <c r="C158" t="s">
        <v>86</v>
      </c>
      <c r="D158" t="s">
        <v>87</v>
      </c>
      <c r="E158" t="s">
        <v>80</v>
      </c>
      <c r="F158" t="s">
        <v>81</v>
      </c>
      <c r="G158" t="s">
        <v>19</v>
      </c>
      <c r="H158">
        <v>5</v>
      </c>
      <c r="I158">
        <v>699.99</v>
      </c>
      <c r="J158" t="s">
        <v>57</v>
      </c>
      <c r="K158" t="s">
        <v>50</v>
      </c>
      <c r="L158" t="s">
        <v>36</v>
      </c>
      <c r="M158" s="3">
        <v>44944</v>
      </c>
      <c r="N158">
        <v>3499.95</v>
      </c>
    </row>
    <row r="159" spans="1:14" x14ac:dyDescent="0.3">
      <c r="A159" t="s">
        <v>300</v>
      </c>
      <c r="B159" s="3">
        <v>45629</v>
      </c>
      <c r="C159" t="s">
        <v>252</v>
      </c>
      <c r="D159" t="s">
        <v>253</v>
      </c>
      <c r="E159" t="s">
        <v>17</v>
      </c>
      <c r="F159" t="s">
        <v>18</v>
      </c>
      <c r="G159" t="s">
        <v>19</v>
      </c>
      <c r="H159">
        <v>4</v>
      </c>
      <c r="I159">
        <v>249.99</v>
      </c>
      <c r="J159" t="s">
        <v>34</v>
      </c>
      <c r="K159" t="s">
        <v>63</v>
      </c>
      <c r="L159" t="s">
        <v>27</v>
      </c>
      <c r="M159" s="3">
        <v>45098</v>
      </c>
      <c r="N159">
        <v>999.96</v>
      </c>
    </row>
    <row r="160" spans="1:14" x14ac:dyDescent="0.3">
      <c r="A160" t="s">
        <v>301</v>
      </c>
      <c r="B160" s="3">
        <v>45630</v>
      </c>
      <c r="C160" t="s">
        <v>48</v>
      </c>
      <c r="D160" t="s">
        <v>49</v>
      </c>
      <c r="E160" t="s">
        <v>80</v>
      </c>
      <c r="F160" t="s">
        <v>81</v>
      </c>
      <c r="G160" t="s">
        <v>19</v>
      </c>
      <c r="H160">
        <v>4</v>
      </c>
      <c r="I160">
        <v>699.99</v>
      </c>
      <c r="J160" t="s">
        <v>26</v>
      </c>
      <c r="K160" t="s">
        <v>40</v>
      </c>
      <c r="L160" t="s">
        <v>27</v>
      </c>
      <c r="M160" s="3">
        <v>44703</v>
      </c>
      <c r="N160">
        <v>2799.96</v>
      </c>
    </row>
    <row r="161" spans="1:14" x14ac:dyDescent="0.3">
      <c r="A161" t="s">
        <v>302</v>
      </c>
      <c r="B161" s="3">
        <v>45635</v>
      </c>
      <c r="C161" t="s">
        <v>108</v>
      </c>
      <c r="D161" t="s">
        <v>109</v>
      </c>
      <c r="E161" t="s">
        <v>17</v>
      </c>
      <c r="F161" t="s">
        <v>18</v>
      </c>
      <c r="G161" t="s">
        <v>19</v>
      </c>
      <c r="H161">
        <v>2</v>
      </c>
      <c r="I161">
        <v>249.99</v>
      </c>
      <c r="J161" t="s">
        <v>26</v>
      </c>
      <c r="K161" t="s">
        <v>21</v>
      </c>
      <c r="L161" t="s">
        <v>27</v>
      </c>
      <c r="M161" s="3">
        <v>44396</v>
      </c>
      <c r="N161">
        <v>499.98</v>
      </c>
    </row>
    <row r="162" spans="1:14" x14ac:dyDescent="0.3">
      <c r="A162" t="s">
        <v>303</v>
      </c>
      <c r="B162" s="3">
        <v>45635</v>
      </c>
      <c r="C162" t="s">
        <v>304</v>
      </c>
      <c r="D162" t="s">
        <v>305</v>
      </c>
      <c r="E162" t="s">
        <v>31</v>
      </c>
      <c r="F162" t="s">
        <v>32</v>
      </c>
      <c r="G162" t="s">
        <v>33</v>
      </c>
      <c r="H162">
        <v>3</v>
      </c>
      <c r="I162">
        <v>59.99</v>
      </c>
      <c r="J162" t="s">
        <v>20</v>
      </c>
      <c r="K162" t="s">
        <v>21</v>
      </c>
      <c r="L162" t="s">
        <v>27</v>
      </c>
      <c r="M162" s="3">
        <v>45052</v>
      </c>
      <c r="N162">
        <v>179.97</v>
      </c>
    </row>
    <row r="163" spans="1:14"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row>
    <row r="164" spans="1:14"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row>
    <row r="165" spans="1:14" x14ac:dyDescent="0.3">
      <c r="A165" t="s">
        <v>308</v>
      </c>
      <c r="B165" s="3">
        <v>45638</v>
      </c>
      <c r="C165" t="s">
        <v>72</v>
      </c>
      <c r="D165" t="s">
        <v>73</v>
      </c>
      <c r="E165" t="s">
        <v>61</v>
      </c>
      <c r="F165" t="s">
        <v>62</v>
      </c>
      <c r="G165" t="s">
        <v>19</v>
      </c>
      <c r="H165">
        <v>2</v>
      </c>
      <c r="I165">
        <v>899.99</v>
      </c>
      <c r="J165" t="s">
        <v>20</v>
      </c>
      <c r="K165" t="s">
        <v>40</v>
      </c>
      <c r="L165" t="s">
        <v>22</v>
      </c>
      <c r="M165" s="3">
        <v>44406</v>
      </c>
      <c r="N165">
        <v>1799.98</v>
      </c>
    </row>
    <row r="166" spans="1:14" x14ac:dyDescent="0.3">
      <c r="A166" t="s">
        <v>309</v>
      </c>
      <c r="B166" s="3">
        <v>45641</v>
      </c>
      <c r="C166" t="s">
        <v>182</v>
      </c>
      <c r="D166" t="s">
        <v>183</v>
      </c>
      <c r="E166" t="s">
        <v>44</v>
      </c>
      <c r="F166" t="s">
        <v>45</v>
      </c>
      <c r="G166" t="s">
        <v>46</v>
      </c>
      <c r="H166">
        <v>1</v>
      </c>
      <c r="I166">
        <v>149.99</v>
      </c>
      <c r="J166" t="s">
        <v>57</v>
      </c>
      <c r="K166" t="s">
        <v>63</v>
      </c>
      <c r="L166" t="s">
        <v>36</v>
      </c>
      <c r="M166" s="3">
        <v>45200</v>
      </c>
      <c r="N166">
        <v>149.99</v>
      </c>
    </row>
    <row r="167" spans="1:14" x14ac:dyDescent="0.3">
      <c r="A167" t="s">
        <v>310</v>
      </c>
      <c r="B167" s="3">
        <v>45641</v>
      </c>
      <c r="C167" t="s">
        <v>138</v>
      </c>
      <c r="D167" t="s">
        <v>139</v>
      </c>
      <c r="E167" t="s">
        <v>105</v>
      </c>
      <c r="F167" t="s">
        <v>106</v>
      </c>
      <c r="G167" t="s">
        <v>46</v>
      </c>
      <c r="H167">
        <v>2</v>
      </c>
      <c r="I167">
        <v>299.99</v>
      </c>
      <c r="J167" t="s">
        <v>20</v>
      </c>
      <c r="K167" t="s">
        <v>63</v>
      </c>
      <c r="L167" t="s">
        <v>27</v>
      </c>
      <c r="M167" s="3">
        <v>44724</v>
      </c>
      <c r="N167">
        <v>599.98</v>
      </c>
    </row>
    <row r="168" spans="1:14" x14ac:dyDescent="0.3">
      <c r="A168" t="s">
        <v>311</v>
      </c>
      <c r="B168" s="3">
        <v>45644</v>
      </c>
      <c r="C168" t="s">
        <v>132</v>
      </c>
      <c r="D168" t="s">
        <v>133</v>
      </c>
      <c r="E168" t="s">
        <v>31</v>
      </c>
      <c r="F168" t="s">
        <v>32</v>
      </c>
      <c r="G168" t="s">
        <v>33</v>
      </c>
      <c r="H168">
        <v>2</v>
      </c>
      <c r="I168">
        <v>59.99</v>
      </c>
      <c r="J168" t="s">
        <v>20</v>
      </c>
      <c r="K168" t="s">
        <v>50</v>
      </c>
      <c r="L168" t="s">
        <v>22</v>
      </c>
      <c r="M168" s="3">
        <v>45191</v>
      </c>
      <c r="N168">
        <v>119.98</v>
      </c>
    </row>
    <row r="169" spans="1:14" x14ac:dyDescent="0.3">
      <c r="A169" t="s">
        <v>312</v>
      </c>
      <c r="B169" s="3">
        <v>45645</v>
      </c>
      <c r="C169" t="s">
        <v>182</v>
      </c>
      <c r="D169" t="s">
        <v>183</v>
      </c>
      <c r="E169" t="s">
        <v>117</v>
      </c>
      <c r="F169" t="s">
        <v>118</v>
      </c>
      <c r="G169" t="s">
        <v>19</v>
      </c>
      <c r="H169">
        <v>1</v>
      </c>
      <c r="I169">
        <v>89.99</v>
      </c>
      <c r="J169" t="s">
        <v>57</v>
      </c>
      <c r="K169" t="s">
        <v>21</v>
      </c>
      <c r="L169" t="s">
        <v>36</v>
      </c>
      <c r="M169" s="3">
        <v>44760</v>
      </c>
      <c r="N169">
        <v>89.99</v>
      </c>
    </row>
    <row r="170" spans="1:14" x14ac:dyDescent="0.3">
      <c r="A170" t="s">
        <v>313</v>
      </c>
      <c r="B170" s="3">
        <v>45645</v>
      </c>
      <c r="C170" t="s">
        <v>147</v>
      </c>
      <c r="D170" t="s">
        <v>148</v>
      </c>
      <c r="E170" t="s">
        <v>61</v>
      </c>
      <c r="F170" t="s">
        <v>62</v>
      </c>
      <c r="G170" t="s">
        <v>19</v>
      </c>
      <c r="H170">
        <v>5</v>
      </c>
      <c r="I170">
        <v>899.99</v>
      </c>
      <c r="J170" t="s">
        <v>57</v>
      </c>
      <c r="K170" t="s">
        <v>63</v>
      </c>
      <c r="L170" t="s">
        <v>36</v>
      </c>
      <c r="M170" s="3">
        <v>44625</v>
      </c>
      <c r="N170">
        <v>4499.95</v>
      </c>
    </row>
    <row r="171" spans="1:14" x14ac:dyDescent="0.3">
      <c r="A171" t="s">
        <v>314</v>
      </c>
      <c r="B171" s="3">
        <v>45646</v>
      </c>
      <c r="C171" t="s">
        <v>42</v>
      </c>
      <c r="D171" t="s">
        <v>43</v>
      </c>
      <c r="E171" t="s">
        <v>44</v>
      </c>
      <c r="F171" t="s">
        <v>45</v>
      </c>
      <c r="G171" t="s">
        <v>46</v>
      </c>
      <c r="H171">
        <v>2</v>
      </c>
      <c r="I171">
        <v>149.99</v>
      </c>
      <c r="J171" t="s">
        <v>20</v>
      </c>
      <c r="K171" t="s">
        <v>35</v>
      </c>
      <c r="L171" t="s">
        <v>22</v>
      </c>
      <c r="M171" s="3">
        <v>45239</v>
      </c>
      <c r="N171">
        <v>299.98</v>
      </c>
    </row>
    <row r="172" spans="1:14" x14ac:dyDescent="0.3">
      <c r="A172" t="s">
        <v>315</v>
      </c>
      <c r="B172" s="3">
        <v>45648</v>
      </c>
      <c r="C172" t="s">
        <v>112</v>
      </c>
      <c r="D172" t="s">
        <v>113</v>
      </c>
      <c r="E172" t="s">
        <v>52</v>
      </c>
      <c r="F172" t="s">
        <v>53</v>
      </c>
      <c r="G172" t="s">
        <v>19</v>
      </c>
      <c r="H172">
        <v>2</v>
      </c>
      <c r="I172">
        <v>149.99</v>
      </c>
      <c r="J172" t="s">
        <v>57</v>
      </c>
      <c r="K172" t="s">
        <v>50</v>
      </c>
      <c r="L172" t="s">
        <v>27</v>
      </c>
      <c r="M172" s="3">
        <v>45280</v>
      </c>
      <c r="N172">
        <v>299.98</v>
      </c>
    </row>
    <row r="173" spans="1:14" x14ac:dyDescent="0.3">
      <c r="A173" t="s">
        <v>316</v>
      </c>
      <c r="B173" s="3">
        <v>45648</v>
      </c>
      <c r="C173" t="s">
        <v>182</v>
      </c>
      <c r="D173" t="s">
        <v>183</v>
      </c>
      <c r="E173" t="s">
        <v>44</v>
      </c>
      <c r="F173" t="s">
        <v>45</v>
      </c>
      <c r="G173" t="s">
        <v>46</v>
      </c>
      <c r="H173">
        <v>3</v>
      </c>
      <c r="I173">
        <v>149.99</v>
      </c>
      <c r="J173" t="s">
        <v>57</v>
      </c>
      <c r="K173" t="s">
        <v>40</v>
      </c>
      <c r="L173" t="s">
        <v>36</v>
      </c>
      <c r="M173" s="3">
        <v>44522</v>
      </c>
      <c r="N173">
        <v>449.97</v>
      </c>
    </row>
    <row r="174" spans="1:14" x14ac:dyDescent="0.3">
      <c r="A174" t="s">
        <v>317</v>
      </c>
      <c r="B174" s="3">
        <v>45649</v>
      </c>
      <c r="C174" t="s">
        <v>29</v>
      </c>
      <c r="D174" t="s">
        <v>30</v>
      </c>
      <c r="E174" t="s">
        <v>105</v>
      </c>
      <c r="F174" t="s">
        <v>106</v>
      </c>
      <c r="G174" t="s">
        <v>46</v>
      </c>
      <c r="H174">
        <v>2</v>
      </c>
      <c r="I174">
        <v>299.99</v>
      </c>
      <c r="J174" t="s">
        <v>34</v>
      </c>
      <c r="K174" t="s">
        <v>35</v>
      </c>
      <c r="L174" t="s">
        <v>22</v>
      </c>
      <c r="M174" s="3">
        <v>44721</v>
      </c>
      <c r="N174">
        <v>599.98</v>
      </c>
    </row>
    <row r="175" spans="1:14" x14ac:dyDescent="0.3">
      <c r="A175" t="s">
        <v>318</v>
      </c>
      <c r="B175" s="3">
        <v>45654</v>
      </c>
      <c r="C175" t="s">
        <v>42</v>
      </c>
      <c r="D175" t="s">
        <v>43</v>
      </c>
      <c r="E175" t="s">
        <v>105</v>
      </c>
      <c r="F175" t="s">
        <v>106</v>
      </c>
      <c r="G175" t="s">
        <v>46</v>
      </c>
      <c r="H175">
        <v>2</v>
      </c>
      <c r="I175">
        <v>299.99</v>
      </c>
      <c r="J175" t="s">
        <v>20</v>
      </c>
      <c r="K175" t="s">
        <v>50</v>
      </c>
      <c r="L175" t="s">
        <v>22</v>
      </c>
      <c r="M175" s="3">
        <v>44771</v>
      </c>
      <c r="N175">
        <v>599.98</v>
      </c>
    </row>
    <row r="176" spans="1:14" x14ac:dyDescent="0.3">
      <c r="A176" t="s">
        <v>319</v>
      </c>
      <c r="B176" s="3">
        <v>45654</v>
      </c>
      <c r="C176" t="s">
        <v>120</v>
      </c>
      <c r="D176" t="s">
        <v>121</v>
      </c>
      <c r="E176" t="s">
        <v>126</v>
      </c>
      <c r="F176" t="s">
        <v>127</v>
      </c>
      <c r="G176" t="s">
        <v>46</v>
      </c>
      <c r="H176">
        <v>4</v>
      </c>
      <c r="I176">
        <v>199.99</v>
      </c>
      <c r="J176" t="s">
        <v>26</v>
      </c>
      <c r="K176" t="s">
        <v>21</v>
      </c>
      <c r="L176" t="s">
        <v>22</v>
      </c>
      <c r="M176" s="3">
        <v>44523</v>
      </c>
      <c r="N176">
        <v>799.96</v>
      </c>
    </row>
    <row r="177" spans="1:14" x14ac:dyDescent="0.3">
      <c r="A177" t="s">
        <v>320</v>
      </c>
      <c r="B177" s="3">
        <v>45655</v>
      </c>
      <c r="C177" t="s">
        <v>59</v>
      </c>
      <c r="D177" t="s">
        <v>60</v>
      </c>
      <c r="E177" t="s">
        <v>117</v>
      </c>
      <c r="F177" t="s">
        <v>118</v>
      </c>
      <c r="G177" t="s">
        <v>19</v>
      </c>
      <c r="H177">
        <v>1</v>
      </c>
      <c r="I177">
        <v>89.99</v>
      </c>
      <c r="J177" t="s">
        <v>26</v>
      </c>
      <c r="K177" t="s">
        <v>35</v>
      </c>
      <c r="L177" t="s">
        <v>27</v>
      </c>
      <c r="M177" s="3">
        <v>44591</v>
      </c>
      <c r="N177">
        <v>89.99</v>
      </c>
    </row>
    <row r="178" spans="1:14" x14ac:dyDescent="0.3">
      <c r="A178" t="s">
        <v>321</v>
      </c>
      <c r="B178" s="3">
        <v>45655</v>
      </c>
      <c r="C178" t="s">
        <v>108</v>
      </c>
      <c r="D178" t="s">
        <v>109</v>
      </c>
      <c r="E178" t="s">
        <v>44</v>
      </c>
      <c r="F178" t="s">
        <v>45</v>
      </c>
      <c r="G178" t="s">
        <v>46</v>
      </c>
      <c r="H178">
        <v>5</v>
      </c>
      <c r="I178">
        <v>149.99</v>
      </c>
      <c r="J178" t="s">
        <v>20</v>
      </c>
      <c r="K178" t="s">
        <v>21</v>
      </c>
      <c r="L178" t="s">
        <v>27</v>
      </c>
      <c r="M178" s="3">
        <v>45347</v>
      </c>
      <c r="N178">
        <v>749.95</v>
      </c>
    </row>
    <row r="179" spans="1:14" x14ac:dyDescent="0.3">
      <c r="A179" t="s">
        <v>322</v>
      </c>
      <c r="B179" s="3">
        <v>45657</v>
      </c>
      <c r="C179" t="s">
        <v>86</v>
      </c>
      <c r="D179" t="s">
        <v>87</v>
      </c>
      <c r="E179" t="s">
        <v>61</v>
      </c>
      <c r="F179" t="s">
        <v>62</v>
      </c>
      <c r="G179" t="s">
        <v>19</v>
      </c>
      <c r="H179">
        <v>1</v>
      </c>
      <c r="I179">
        <v>899.99</v>
      </c>
      <c r="J179" t="s">
        <v>34</v>
      </c>
      <c r="K179" t="s">
        <v>40</v>
      </c>
      <c r="L179" t="s">
        <v>27</v>
      </c>
      <c r="M179" s="3">
        <v>45050</v>
      </c>
      <c r="N179">
        <v>899.99</v>
      </c>
    </row>
    <row r="180" spans="1:14" x14ac:dyDescent="0.3">
      <c r="A180" t="s">
        <v>323</v>
      </c>
      <c r="B180" s="3">
        <v>45660</v>
      </c>
      <c r="C180" t="s">
        <v>147</v>
      </c>
      <c r="D180" t="s">
        <v>148</v>
      </c>
      <c r="E180" t="s">
        <v>117</v>
      </c>
      <c r="F180" t="s">
        <v>118</v>
      </c>
      <c r="G180" t="s">
        <v>19</v>
      </c>
      <c r="H180">
        <v>2</v>
      </c>
      <c r="I180">
        <v>89.99</v>
      </c>
      <c r="J180" t="s">
        <v>26</v>
      </c>
      <c r="K180" t="s">
        <v>35</v>
      </c>
      <c r="L180" t="s">
        <v>27</v>
      </c>
      <c r="M180" s="3">
        <v>44564</v>
      </c>
      <c r="N180">
        <v>179.98</v>
      </c>
    </row>
    <row r="181" spans="1:14" x14ac:dyDescent="0.3">
      <c r="A181" t="s">
        <v>324</v>
      </c>
      <c r="B181" s="3">
        <v>45661</v>
      </c>
      <c r="C181" t="s">
        <v>325</v>
      </c>
      <c r="D181" t="s">
        <v>326</v>
      </c>
      <c r="E181" t="s">
        <v>61</v>
      </c>
      <c r="F181" t="s">
        <v>62</v>
      </c>
      <c r="G181" t="s">
        <v>19</v>
      </c>
      <c r="H181">
        <v>1</v>
      </c>
      <c r="I181">
        <v>899.99</v>
      </c>
      <c r="J181" t="s">
        <v>34</v>
      </c>
      <c r="K181" t="s">
        <v>40</v>
      </c>
      <c r="L181" t="s">
        <v>36</v>
      </c>
      <c r="M181" s="3">
        <v>44752</v>
      </c>
      <c r="N181">
        <v>899.99</v>
      </c>
    </row>
    <row r="182" spans="1:14" x14ac:dyDescent="0.3">
      <c r="A182" t="s">
        <v>327</v>
      </c>
      <c r="B182" s="3">
        <v>45663</v>
      </c>
      <c r="C182" t="s">
        <v>129</v>
      </c>
      <c r="D182" t="s">
        <v>130</v>
      </c>
      <c r="E182" t="s">
        <v>52</v>
      </c>
      <c r="F182" t="s">
        <v>53</v>
      </c>
      <c r="G182" t="s">
        <v>19</v>
      </c>
      <c r="H182">
        <v>5</v>
      </c>
      <c r="I182">
        <v>149.99</v>
      </c>
      <c r="J182" t="s">
        <v>34</v>
      </c>
      <c r="K182" t="s">
        <v>63</v>
      </c>
      <c r="L182" t="s">
        <v>27</v>
      </c>
      <c r="M182" s="3">
        <v>44824</v>
      </c>
      <c r="N182">
        <v>749.95</v>
      </c>
    </row>
    <row r="183" spans="1:14" x14ac:dyDescent="0.3">
      <c r="A183" t="s">
        <v>328</v>
      </c>
      <c r="B183" s="3">
        <v>45663</v>
      </c>
      <c r="C183" t="s">
        <v>42</v>
      </c>
      <c r="D183" t="s">
        <v>43</v>
      </c>
      <c r="E183" t="s">
        <v>105</v>
      </c>
      <c r="F183" t="s">
        <v>106</v>
      </c>
      <c r="G183" t="s">
        <v>46</v>
      </c>
      <c r="H183">
        <v>3</v>
      </c>
      <c r="I183">
        <v>299.99</v>
      </c>
      <c r="J183" t="s">
        <v>20</v>
      </c>
      <c r="K183" t="s">
        <v>35</v>
      </c>
      <c r="L183" t="s">
        <v>36</v>
      </c>
      <c r="M183" s="3">
        <v>44422</v>
      </c>
      <c r="N183">
        <v>899.97</v>
      </c>
    </row>
    <row r="184" spans="1:14"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row>
    <row r="185" spans="1:14" x14ac:dyDescent="0.3">
      <c r="A185" t="s">
        <v>330</v>
      </c>
      <c r="B185" s="3">
        <v>45667</v>
      </c>
      <c r="C185" t="s">
        <v>108</v>
      </c>
      <c r="D185" t="s">
        <v>109</v>
      </c>
      <c r="E185" t="s">
        <v>126</v>
      </c>
      <c r="F185" t="s">
        <v>127</v>
      </c>
      <c r="G185" t="s">
        <v>46</v>
      </c>
      <c r="H185">
        <v>5</v>
      </c>
      <c r="I185">
        <v>199.99</v>
      </c>
      <c r="J185" t="s">
        <v>34</v>
      </c>
      <c r="K185" t="s">
        <v>21</v>
      </c>
      <c r="L185" t="s">
        <v>36</v>
      </c>
      <c r="M185" s="3">
        <v>44633</v>
      </c>
      <c r="N185">
        <v>999.95</v>
      </c>
    </row>
    <row r="186" spans="1:14" x14ac:dyDescent="0.3">
      <c r="A186" t="s">
        <v>331</v>
      </c>
      <c r="B186" s="3">
        <v>45667</v>
      </c>
      <c r="C186" t="s">
        <v>93</v>
      </c>
      <c r="D186" t="s">
        <v>94</v>
      </c>
      <c r="E186" t="s">
        <v>17</v>
      </c>
      <c r="F186" t="s">
        <v>18</v>
      </c>
      <c r="G186" t="s">
        <v>19</v>
      </c>
      <c r="H186">
        <v>5</v>
      </c>
      <c r="I186">
        <v>249.99</v>
      </c>
      <c r="J186" t="s">
        <v>26</v>
      </c>
      <c r="K186" t="s">
        <v>35</v>
      </c>
      <c r="L186" t="s">
        <v>22</v>
      </c>
      <c r="M186" s="3">
        <v>45330</v>
      </c>
      <c r="N186">
        <v>1249.95</v>
      </c>
    </row>
    <row r="187" spans="1:14" x14ac:dyDescent="0.3">
      <c r="A187" t="s">
        <v>332</v>
      </c>
      <c r="B187" s="3">
        <v>45668</v>
      </c>
      <c r="C187" t="s">
        <v>138</v>
      </c>
      <c r="D187" t="s">
        <v>139</v>
      </c>
      <c r="E187" t="s">
        <v>52</v>
      </c>
      <c r="F187" t="s">
        <v>53</v>
      </c>
      <c r="G187" t="s">
        <v>19</v>
      </c>
      <c r="H187">
        <v>4</v>
      </c>
      <c r="I187">
        <v>149.99</v>
      </c>
      <c r="J187" t="s">
        <v>57</v>
      </c>
      <c r="K187" t="s">
        <v>63</v>
      </c>
      <c r="L187" t="s">
        <v>36</v>
      </c>
      <c r="M187" s="3">
        <v>44536</v>
      </c>
      <c r="N187">
        <v>599.96</v>
      </c>
    </row>
    <row r="188" spans="1:14"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row>
    <row r="189" spans="1:14"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row>
    <row r="190" spans="1:14" x14ac:dyDescent="0.3">
      <c r="A190" t="s">
        <v>335</v>
      </c>
      <c r="B190" s="3">
        <v>45670</v>
      </c>
      <c r="C190" t="s">
        <v>86</v>
      </c>
      <c r="D190" t="s">
        <v>87</v>
      </c>
      <c r="E190" t="s">
        <v>105</v>
      </c>
      <c r="F190" t="s">
        <v>106</v>
      </c>
      <c r="G190" t="s">
        <v>46</v>
      </c>
      <c r="H190">
        <v>1</v>
      </c>
      <c r="I190">
        <v>299.99</v>
      </c>
      <c r="J190" t="s">
        <v>26</v>
      </c>
      <c r="K190" t="s">
        <v>40</v>
      </c>
      <c r="L190" t="s">
        <v>22</v>
      </c>
      <c r="M190" s="3">
        <v>44436</v>
      </c>
      <c r="N190">
        <v>299.99</v>
      </c>
    </row>
    <row r="191" spans="1:14" x14ac:dyDescent="0.3">
      <c r="A191" t="s">
        <v>336</v>
      </c>
      <c r="B191" s="3">
        <v>45671</v>
      </c>
      <c r="C191" t="s">
        <v>158</v>
      </c>
      <c r="D191" t="s">
        <v>159</v>
      </c>
      <c r="E191" t="s">
        <v>17</v>
      </c>
      <c r="F191" t="s">
        <v>18</v>
      </c>
      <c r="G191" t="s">
        <v>19</v>
      </c>
      <c r="H191">
        <v>4</v>
      </c>
      <c r="I191">
        <v>249.99</v>
      </c>
      <c r="J191" t="s">
        <v>26</v>
      </c>
      <c r="K191" t="s">
        <v>40</v>
      </c>
      <c r="L191" t="s">
        <v>27</v>
      </c>
      <c r="M191" s="3">
        <v>44460</v>
      </c>
      <c r="N191">
        <v>999.96</v>
      </c>
    </row>
    <row r="192" spans="1:14" x14ac:dyDescent="0.3">
      <c r="A192" t="s">
        <v>337</v>
      </c>
      <c r="B192" s="3">
        <v>45671</v>
      </c>
      <c r="C192" t="s">
        <v>120</v>
      </c>
      <c r="D192" t="s">
        <v>121</v>
      </c>
      <c r="E192" t="s">
        <v>52</v>
      </c>
      <c r="F192" t="s">
        <v>53</v>
      </c>
      <c r="G192" t="s">
        <v>19</v>
      </c>
      <c r="H192">
        <v>2</v>
      </c>
      <c r="I192">
        <v>149.99</v>
      </c>
      <c r="J192" t="s">
        <v>20</v>
      </c>
      <c r="K192" t="s">
        <v>40</v>
      </c>
      <c r="L192" t="s">
        <v>36</v>
      </c>
      <c r="M192" s="3">
        <v>44913</v>
      </c>
      <c r="N192">
        <v>299.98</v>
      </c>
    </row>
    <row r="193" spans="1:14" x14ac:dyDescent="0.3">
      <c r="A193" t="s">
        <v>338</v>
      </c>
      <c r="B193" s="3">
        <v>45671</v>
      </c>
      <c r="C193" t="s">
        <v>234</v>
      </c>
      <c r="D193" t="s">
        <v>235</v>
      </c>
      <c r="E193" t="s">
        <v>105</v>
      </c>
      <c r="F193" t="s">
        <v>106</v>
      </c>
      <c r="G193" t="s">
        <v>46</v>
      </c>
      <c r="H193">
        <v>3</v>
      </c>
      <c r="I193">
        <v>299.99</v>
      </c>
      <c r="J193" t="s">
        <v>26</v>
      </c>
      <c r="K193" t="s">
        <v>35</v>
      </c>
      <c r="L193" t="s">
        <v>22</v>
      </c>
      <c r="M193" s="3">
        <v>45204</v>
      </c>
      <c r="N193">
        <v>899.97</v>
      </c>
    </row>
    <row r="194" spans="1:14" x14ac:dyDescent="0.3">
      <c r="A194" t="s">
        <v>339</v>
      </c>
      <c r="B194" s="3">
        <v>45673</v>
      </c>
      <c r="C194" t="s">
        <v>226</v>
      </c>
      <c r="D194" t="s">
        <v>227</v>
      </c>
      <c r="E194" t="s">
        <v>126</v>
      </c>
      <c r="F194" t="s">
        <v>127</v>
      </c>
      <c r="G194" t="s">
        <v>46</v>
      </c>
      <c r="H194">
        <v>4</v>
      </c>
      <c r="I194">
        <v>199.99</v>
      </c>
      <c r="J194" t="s">
        <v>57</v>
      </c>
      <c r="K194" t="s">
        <v>35</v>
      </c>
      <c r="L194" t="s">
        <v>36</v>
      </c>
      <c r="M194" s="3">
        <v>44544</v>
      </c>
      <c r="N194">
        <v>799.96</v>
      </c>
    </row>
    <row r="195" spans="1:14" x14ac:dyDescent="0.3">
      <c r="A195" t="s">
        <v>340</v>
      </c>
      <c r="B195" s="3">
        <v>45673</v>
      </c>
      <c r="C195" t="s">
        <v>211</v>
      </c>
      <c r="D195" t="s">
        <v>212</v>
      </c>
      <c r="E195" t="s">
        <v>105</v>
      </c>
      <c r="F195" t="s">
        <v>106</v>
      </c>
      <c r="G195" t="s">
        <v>46</v>
      </c>
      <c r="H195">
        <v>5</v>
      </c>
      <c r="I195">
        <v>299.99</v>
      </c>
      <c r="J195" t="s">
        <v>57</v>
      </c>
      <c r="K195" t="s">
        <v>21</v>
      </c>
      <c r="L195" t="s">
        <v>22</v>
      </c>
      <c r="M195" s="3">
        <v>44431</v>
      </c>
      <c r="N195">
        <v>1499.95</v>
      </c>
    </row>
    <row r="196" spans="1:14" x14ac:dyDescent="0.3">
      <c r="A196" t="s">
        <v>341</v>
      </c>
      <c r="B196" s="3">
        <v>45673</v>
      </c>
      <c r="C196" t="s">
        <v>59</v>
      </c>
      <c r="D196" t="s">
        <v>60</v>
      </c>
      <c r="E196" t="s">
        <v>44</v>
      </c>
      <c r="F196" t="s">
        <v>45</v>
      </c>
      <c r="G196" t="s">
        <v>46</v>
      </c>
      <c r="H196">
        <v>3</v>
      </c>
      <c r="I196">
        <v>149.99</v>
      </c>
      <c r="J196" t="s">
        <v>26</v>
      </c>
      <c r="K196" t="s">
        <v>63</v>
      </c>
      <c r="L196" t="s">
        <v>36</v>
      </c>
      <c r="M196" s="3">
        <v>44395</v>
      </c>
      <c r="N196">
        <v>449.97</v>
      </c>
    </row>
    <row r="197" spans="1:14" x14ac:dyDescent="0.3">
      <c r="A197" t="s">
        <v>342</v>
      </c>
      <c r="B197" s="3">
        <v>45676</v>
      </c>
      <c r="C197" t="s">
        <v>129</v>
      </c>
      <c r="D197" t="s">
        <v>130</v>
      </c>
      <c r="E197" t="s">
        <v>31</v>
      </c>
      <c r="F197" t="s">
        <v>32</v>
      </c>
      <c r="G197" t="s">
        <v>33</v>
      </c>
      <c r="H197">
        <v>5</v>
      </c>
      <c r="I197">
        <v>59.99</v>
      </c>
      <c r="J197" t="s">
        <v>57</v>
      </c>
      <c r="K197" t="s">
        <v>63</v>
      </c>
      <c r="L197" t="s">
        <v>22</v>
      </c>
      <c r="M197" s="3">
        <v>44642</v>
      </c>
      <c r="N197">
        <v>299.95</v>
      </c>
    </row>
    <row r="198" spans="1:14" x14ac:dyDescent="0.3">
      <c r="A198" t="s">
        <v>343</v>
      </c>
      <c r="B198" s="3">
        <v>45682</v>
      </c>
      <c r="C198" t="s">
        <v>68</v>
      </c>
      <c r="D198" t="s">
        <v>69</v>
      </c>
      <c r="E198" t="s">
        <v>31</v>
      </c>
      <c r="F198" t="s">
        <v>32</v>
      </c>
      <c r="G198" t="s">
        <v>33</v>
      </c>
      <c r="H198">
        <v>4</v>
      </c>
      <c r="I198">
        <v>59.99</v>
      </c>
      <c r="J198" t="s">
        <v>57</v>
      </c>
      <c r="K198" t="s">
        <v>63</v>
      </c>
      <c r="L198" t="s">
        <v>36</v>
      </c>
      <c r="M198" s="3">
        <v>44564</v>
      </c>
      <c r="N198">
        <v>239.96</v>
      </c>
    </row>
    <row r="199" spans="1:14" x14ac:dyDescent="0.3">
      <c r="A199" t="s">
        <v>344</v>
      </c>
      <c r="B199" s="3">
        <v>45683</v>
      </c>
      <c r="C199" t="s">
        <v>48</v>
      </c>
      <c r="D199" t="s">
        <v>49</v>
      </c>
      <c r="E199" t="s">
        <v>17</v>
      </c>
      <c r="F199" t="s">
        <v>18</v>
      </c>
      <c r="G199" t="s">
        <v>19</v>
      </c>
      <c r="H199">
        <v>4</v>
      </c>
      <c r="I199">
        <v>249.99</v>
      </c>
      <c r="J199" t="s">
        <v>57</v>
      </c>
      <c r="K199" t="s">
        <v>21</v>
      </c>
      <c r="L199" t="s">
        <v>27</v>
      </c>
      <c r="M199" s="3">
        <v>45217</v>
      </c>
      <c r="N199">
        <v>999.96</v>
      </c>
    </row>
    <row r="200" spans="1:14" x14ac:dyDescent="0.3">
      <c r="A200" t="s">
        <v>345</v>
      </c>
      <c r="B200" s="3">
        <v>45686</v>
      </c>
      <c r="C200" t="s">
        <v>252</v>
      </c>
      <c r="D200" t="s">
        <v>253</v>
      </c>
      <c r="E200" t="s">
        <v>61</v>
      </c>
      <c r="F200" t="s">
        <v>62</v>
      </c>
      <c r="G200" t="s">
        <v>19</v>
      </c>
      <c r="H200">
        <v>4</v>
      </c>
      <c r="I200">
        <v>899.99</v>
      </c>
      <c r="J200" t="s">
        <v>34</v>
      </c>
      <c r="K200" t="s">
        <v>21</v>
      </c>
      <c r="L200" t="s">
        <v>22</v>
      </c>
      <c r="M200" s="3">
        <v>44734</v>
      </c>
      <c r="N200">
        <v>3599.96</v>
      </c>
    </row>
    <row r="201" spans="1:14" x14ac:dyDescent="0.3">
      <c r="A201" t="s">
        <v>346</v>
      </c>
      <c r="B201" s="3">
        <v>45686</v>
      </c>
      <c r="C201" t="s">
        <v>86</v>
      </c>
      <c r="D201" t="s">
        <v>87</v>
      </c>
      <c r="E201" t="s">
        <v>105</v>
      </c>
      <c r="F201" t="s">
        <v>106</v>
      </c>
      <c r="G201" t="s">
        <v>46</v>
      </c>
      <c r="H201">
        <v>3</v>
      </c>
      <c r="I201">
        <v>299.99</v>
      </c>
      <c r="J201" t="s">
        <v>57</v>
      </c>
      <c r="K201" t="s">
        <v>50</v>
      </c>
      <c r="L201" t="s">
        <v>36</v>
      </c>
      <c r="M201" s="3">
        <v>44952</v>
      </c>
      <c r="N201">
        <v>899.97</v>
      </c>
    </row>
    <row r="202" spans="1:14" x14ac:dyDescent="0.3">
      <c r="A202" t="s">
        <v>347</v>
      </c>
      <c r="B202" s="3">
        <v>45686</v>
      </c>
      <c r="C202" t="s">
        <v>293</v>
      </c>
      <c r="D202" t="s">
        <v>294</v>
      </c>
      <c r="E202" t="s">
        <v>80</v>
      </c>
      <c r="F202" t="s">
        <v>81</v>
      </c>
      <c r="G202" t="s">
        <v>19</v>
      </c>
      <c r="H202">
        <v>2</v>
      </c>
      <c r="I202">
        <v>699.99</v>
      </c>
      <c r="J202" t="s">
        <v>57</v>
      </c>
      <c r="K202" t="s">
        <v>21</v>
      </c>
      <c r="L202" t="s">
        <v>27</v>
      </c>
      <c r="M202" s="3">
        <v>44681</v>
      </c>
      <c r="N202">
        <v>1399.98</v>
      </c>
    </row>
    <row r="203" spans="1:14" x14ac:dyDescent="0.3">
      <c r="A203" t="s">
        <v>348</v>
      </c>
      <c r="B203" s="3">
        <v>45688</v>
      </c>
      <c r="C203" t="s">
        <v>65</v>
      </c>
      <c r="D203" t="s">
        <v>66</v>
      </c>
      <c r="E203" t="s">
        <v>80</v>
      </c>
      <c r="F203" t="s">
        <v>81</v>
      </c>
      <c r="G203" t="s">
        <v>19</v>
      </c>
      <c r="H203">
        <v>4</v>
      </c>
      <c r="I203">
        <v>699.99</v>
      </c>
      <c r="J203" t="s">
        <v>57</v>
      </c>
      <c r="K203" t="s">
        <v>50</v>
      </c>
      <c r="L203" t="s">
        <v>27</v>
      </c>
      <c r="M203" s="3">
        <v>44692</v>
      </c>
      <c r="N203">
        <v>2799.96</v>
      </c>
    </row>
    <row r="204" spans="1:14" x14ac:dyDescent="0.3">
      <c r="A204" t="s">
        <v>349</v>
      </c>
      <c r="B204" s="3">
        <v>45688</v>
      </c>
      <c r="C204" t="s">
        <v>123</v>
      </c>
      <c r="D204" t="s">
        <v>124</v>
      </c>
      <c r="E204" t="s">
        <v>117</v>
      </c>
      <c r="F204" t="s">
        <v>118</v>
      </c>
      <c r="G204" t="s">
        <v>19</v>
      </c>
      <c r="H204">
        <v>2</v>
      </c>
      <c r="I204">
        <v>89.99</v>
      </c>
      <c r="J204" t="s">
        <v>57</v>
      </c>
      <c r="K204" t="s">
        <v>35</v>
      </c>
      <c r="L204" t="s">
        <v>22</v>
      </c>
      <c r="M204" s="3">
        <v>44777</v>
      </c>
      <c r="N204">
        <v>179.98</v>
      </c>
    </row>
    <row r="205" spans="1:14"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row>
    <row r="206" spans="1:14" x14ac:dyDescent="0.3">
      <c r="A206" t="s">
        <v>351</v>
      </c>
      <c r="B206" s="3">
        <v>45692</v>
      </c>
      <c r="C206" t="s">
        <v>325</v>
      </c>
      <c r="D206" t="s">
        <v>326</v>
      </c>
      <c r="E206" t="s">
        <v>31</v>
      </c>
      <c r="F206" t="s">
        <v>32</v>
      </c>
      <c r="G206" t="s">
        <v>33</v>
      </c>
      <c r="H206">
        <v>1</v>
      </c>
      <c r="I206">
        <v>59.99</v>
      </c>
      <c r="J206" t="s">
        <v>57</v>
      </c>
      <c r="K206" t="s">
        <v>21</v>
      </c>
      <c r="L206" t="s">
        <v>36</v>
      </c>
      <c r="M206" s="3">
        <v>45045</v>
      </c>
      <c r="N206">
        <v>59.99</v>
      </c>
    </row>
    <row r="207" spans="1:14" x14ac:dyDescent="0.3">
      <c r="A207" t="s">
        <v>352</v>
      </c>
      <c r="B207" s="3">
        <v>45695</v>
      </c>
      <c r="C207" t="s">
        <v>246</v>
      </c>
      <c r="D207" t="s">
        <v>247</v>
      </c>
      <c r="E207" t="s">
        <v>44</v>
      </c>
      <c r="F207" t="s">
        <v>45</v>
      </c>
      <c r="G207" t="s">
        <v>46</v>
      </c>
      <c r="H207">
        <v>3</v>
      </c>
      <c r="I207">
        <v>149.99</v>
      </c>
      <c r="J207" t="s">
        <v>57</v>
      </c>
      <c r="K207" t="s">
        <v>40</v>
      </c>
      <c r="L207" t="s">
        <v>27</v>
      </c>
      <c r="M207" s="3">
        <v>44564</v>
      </c>
      <c r="N207">
        <v>449.97</v>
      </c>
    </row>
    <row r="208" spans="1:14" x14ac:dyDescent="0.3">
      <c r="A208" t="s">
        <v>353</v>
      </c>
      <c r="B208" s="3">
        <v>45695</v>
      </c>
      <c r="C208" t="s">
        <v>93</v>
      </c>
      <c r="D208" t="s">
        <v>94</v>
      </c>
      <c r="E208" t="s">
        <v>105</v>
      </c>
      <c r="F208" t="s">
        <v>106</v>
      </c>
      <c r="G208" t="s">
        <v>46</v>
      </c>
      <c r="H208">
        <v>5</v>
      </c>
      <c r="I208">
        <v>299.99</v>
      </c>
      <c r="J208" t="s">
        <v>26</v>
      </c>
      <c r="K208" t="s">
        <v>35</v>
      </c>
      <c r="L208" t="s">
        <v>22</v>
      </c>
      <c r="M208" s="3">
        <v>44959</v>
      </c>
      <c r="N208">
        <v>1499.95</v>
      </c>
    </row>
    <row r="209" spans="1:14" x14ac:dyDescent="0.3">
      <c r="A209" t="s">
        <v>354</v>
      </c>
      <c r="B209" s="3">
        <v>45696</v>
      </c>
      <c r="C209" t="s">
        <v>150</v>
      </c>
      <c r="D209" t="s">
        <v>151</v>
      </c>
      <c r="E209" t="s">
        <v>31</v>
      </c>
      <c r="F209" t="s">
        <v>32</v>
      </c>
      <c r="G209" t="s">
        <v>33</v>
      </c>
      <c r="H209">
        <v>5</v>
      </c>
      <c r="I209">
        <v>59.99</v>
      </c>
      <c r="J209" t="s">
        <v>57</v>
      </c>
      <c r="K209" t="s">
        <v>21</v>
      </c>
      <c r="L209" t="s">
        <v>36</v>
      </c>
      <c r="M209" s="3">
        <v>45177</v>
      </c>
      <c r="N209">
        <v>299.95</v>
      </c>
    </row>
    <row r="210" spans="1:14"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row>
    <row r="211" spans="1:14" x14ac:dyDescent="0.3">
      <c r="A211" t="s">
        <v>356</v>
      </c>
      <c r="B211" s="3">
        <v>45704</v>
      </c>
      <c r="C211" t="s">
        <v>29</v>
      </c>
      <c r="D211" t="s">
        <v>30</v>
      </c>
      <c r="E211" t="s">
        <v>126</v>
      </c>
      <c r="F211" t="s">
        <v>127</v>
      </c>
      <c r="G211" t="s">
        <v>46</v>
      </c>
      <c r="H211">
        <v>3</v>
      </c>
      <c r="I211">
        <v>199.99</v>
      </c>
      <c r="J211" t="s">
        <v>20</v>
      </c>
      <c r="K211" t="s">
        <v>21</v>
      </c>
      <c r="L211" t="s">
        <v>22</v>
      </c>
      <c r="M211" s="3">
        <v>44735</v>
      </c>
      <c r="N211">
        <v>599.97</v>
      </c>
    </row>
    <row r="212" spans="1:14" x14ac:dyDescent="0.3">
      <c r="A212" t="s">
        <v>357</v>
      </c>
      <c r="B212" s="3">
        <v>45704</v>
      </c>
      <c r="C212" t="s">
        <v>15</v>
      </c>
      <c r="D212" t="s">
        <v>16</v>
      </c>
      <c r="E212" t="s">
        <v>117</v>
      </c>
      <c r="F212" t="s">
        <v>118</v>
      </c>
      <c r="G212" t="s">
        <v>19</v>
      </c>
      <c r="H212">
        <v>2</v>
      </c>
      <c r="I212">
        <v>89.99</v>
      </c>
      <c r="J212" t="s">
        <v>34</v>
      </c>
      <c r="K212" t="s">
        <v>21</v>
      </c>
      <c r="L212" t="s">
        <v>22</v>
      </c>
      <c r="M212" s="3">
        <v>45257</v>
      </c>
      <c r="N212">
        <v>179.98</v>
      </c>
    </row>
    <row r="213" spans="1:14" x14ac:dyDescent="0.3">
      <c r="A213" t="s">
        <v>358</v>
      </c>
      <c r="B213" s="3">
        <v>45705</v>
      </c>
      <c r="C213" t="s">
        <v>259</v>
      </c>
      <c r="D213" t="s">
        <v>260</v>
      </c>
      <c r="E213" t="s">
        <v>44</v>
      </c>
      <c r="F213" t="s">
        <v>45</v>
      </c>
      <c r="G213" t="s">
        <v>46</v>
      </c>
      <c r="H213">
        <v>2</v>
      </c>
      <c r="I213">
        <v>149.99</v>
      </c>
      <c r="J213" t="s">
        <v>20</v>
      </c>
      <c r="K213" t="s">
        <v>35</v>
      </c>
      <c r="L213" t="s">
        <v>27</v>
      </c>
      <c r="M213" s="3">
        <v>44728</v>
      </c>
      <c r="N213">
        <v>299.98</v>
      </c>
    </row>
    <row r="214" spans="1:14" x14ac:dyDescent="0.3">
      <c r="A214" t="s">
        <v>359</v>
      </c>
      <c r="B214" s="3">
        <v>45707</v>
      </c>
      <c r="C214" t="s">
        <v>123</v>
      </c>
      <c r="D214" t="s">
        <v>124</v>
      </c>
      <c r="E214" t="s">
        <v>80</v>
      </c>
      <c r="F214" t="s">
        <v>81</v>
      </c>
      <c r="G214" t="s">
        <v>19</v>
      </c>
      <c r="H214">
        <v>5</v>
      </c>
      <c r="I214">
        <v>699.99</v>
      </c>
      <c r="J214" t="s">
        <v>34</v>
      </c>
      <c r="K214" t="s">
        <v>35</v>
      </c>
      <c r="L214" t="s">
        <v>27</v>
      </c>
      <c r="M214" s="3">
        <v>45352</v>
      </c>
      <c r="N214">
        <v>3499.95</v>
      </c>
    </row>
    <row r="215" spans="1:14" x14ac:dyDescent="0.3">
      <c r="A215" t="s">
        <v>360</v>
      </c>
      <c r="B215" s="3">
        <v>45707</v>
      </c>
      <c r="C215" t="s">
        <v>42</v>
      </c>
      <c r="D215" t="s">
        <v>43</v>
      </c>
      <c r="E215" t="s">
        <v>44</v>
      </c>
      <c r="F215" t="s">
        <v>45</v>
      </c>
      <c r="G215" t="s">
        <v>46</v>
      </c>
      <c r="H215">
        <v>3</v>
      </c>
      <c r="I215">
        <v>149.99</v>
      </c>
      <c r="J215" t="s">
        <v>34</v>
      </c>
      <c r="K215" t="s">
        <v>21</v>
      </c>
      <c r="L215" t="s">
        <v>36</v>
      </c>
      <c r="M215" s="3">
        <v>44633</v>
      </c>
      <c r="N215">
        <v>449.97</v>
      </c>
    </row>
    <row r="216" spans="1:14" x14ac:dyDescent="0.3">
      <c r="A216" t="s">
        <v>361</v>
      </c>
      <c r="B216" s="3">
        <v>45708</v>
      </c>
      <c r="C216" t="s">
        <v>96</v>
      </c>
      <c r="D216" t="s">
        <v>97</v>
      </c>
      <c r="E216" t="s">
        <v>61</v>
      </c>
      <c r="F216" t="s">
        <v>62</v>
      </c>
      <c r="G216" t="s">
        <v>19</v>
      </c>
      <c r="H216">
        <v>3</v>
      </c>
      <c r="I216">
        <v>899.99</v>
      </c>
      <c r="J216" t="s">
        <v>20</v>
      </c>
      <c r="K216" t="s">
        <v>63</v>
      </c>
      <c r="L216" t="s">
        <v>36</v>
      </c>
      <c r="M216" s="3">
        <v>44613</v>
      </c>
      <c r="N216">
        <v>2699.97</v>
      </c>
    </row>
    <row r="217" spans="1:14" x14ac:dyDescent="0.3">
      <c r="A217" t="s">
        <v>362</v>
      </c>
      <c r="B217" s="3">
        <v>45708</v>
      </c>
      <c r="C217" t="s">
        <v>192</v>
      </c>
      <c r="D217" t="s">
        <v>193</v>
      </c>
      <c r="E217" t="s">
        <v>126</v>
      </c>
      <c r="F217" t="s">
        <v>127</v>
      </c>
      <c r="G217" t="s">
        <v>46</v>
      </c>
      <c r="H217">
        <v>3</v>
      </c>
      <c r="I217">
        <v>199.99</v>
      </c>
      <c r="J217" t="s">
        <v>20</v>
      </c>
      <c r="K217" t="s">
        <v>50</v>
      </c>
      <c r="L217" t="s">
        <v>27</v>
      </c>
      <c r="M217" s="3">
        <v>44823</v>
      </c>
      <c r="N217">
        <v>599.97</v>
      </c>
    </row>
    <row r="218" spans="1:14" x14ac:dyDescent="0.3">
      <c r="A218" t="s">
        <v>363</v>
      </c>
      <c r="B218" s="3">
        <v>45710</v>
      </c>
      <c r="C218" t="s">
        <v>55</v>
      </c>
      <c r="D218" t="s">
        <v>56</v>
      </c>
      <c r="E218" t="s">
        <v>105</v>
      </c>
      <c r="F218" t="s">
        <v>106</v>
      </c>
      <c r="G218" t="s">
        <v>46</v>
      </c>
      <c r="H218">
        <v>5</v>
      </c>
      <c r="I218">
        <v>299.99</v>
      </c>
      <c r="J218" t="s">
        <v>20</v>
      </c>
      <c r="K218" t="s">
        <v>50</v>
      </c>
      <c r="L218" t="s">
        <v>36</v>
      </c>
      <c r="M218" s="3">
        <v>45142</v>
      </c>
      <c r="N218">
        <v>1499.95</v>
      </c>
    </row>
    <row r="219" spans="1:14" x14ac:dyDescent="0.3">
      <c r="A219" t="s">
        <v>364</v>
      </c>
      <c r="B219" s="3">
        <v>45710</v>
      </c>
      <c r="C219" t="s">
        <v>150</v>
      </c>
      <c r="D219" t="s">
        <v>151</v>
      </c>
      <c r="E219" t="s">
        <v>80</v>
      </c>
      <c r="F219" t="s">
        <v>81</v>
      </c>
      <c r="G219" t="s">
        <v>19</v>
      </c>
      <c r="H219">
        <v>1</v>
      </c>
      <c r="I219">
        <v>699.99</v>
      </c>
      <c r="J219" t="s">
        <v>34</v>
      </c>
      <c r="K219" t="s">
        <v>50</v>
      </c>
      <c r="L219" t="s">
        <v>22</v>
      </c>
      <c r="M219" s="3">
        <v>44934</v>
      </c>
      <c r="N219">
        <v>699.99</v>
      </c>
    </row>
    <row r="220" spans="1:14" x14ac:dyDescent="0.3">
      <c r="A220" t="s">
        <v>365</v>
      </c>
      <c r="B220" s="3">
        <v>45711</v>
      </c>
      <c r="C220" t="s">
        <v>246</v>
      </c>
      <c r="D220" t="s">
        <v>247</v>
      </c>
      <c r="E220" t="s">
        <v>80</v>
      </c>
      <c r="F220" t="s">
        <v>81</v>
      </c>
      <c r="G220" t="s">
        <v>19</v>
      </c>
      <c r="H220">
        <v>1</v>
      </c>
      <c r="I220">
        <v>699.99</v>
      </c>
      <c r="J220" t="s">
        <v>20</v>
      </c>
      <c r="K220" t="s">
        <v>40</v>
      </c>
      <c r="L220" t="s">
        <v>27</v>
      </c>
      <c r="M220" s="3">
        <v>44583</v>
      </c>
      <c r="N220">
        <v>699.99</v>
      </c>
    </row>
    <row r="221" spans="1:14" x14ac:dyDescent="0.3">
      <c r="A221" t="s">
        <v>366</v>
      </c>
      <c r="B221" s="3">
        <v>45711</v>
      </c>
      <c r="C221" t="s">
        <v>325</v>
      </c>
      <c r="D221" t="s">
        <v>326</v>
      </c>
      <c r="E221" t="s">
        <v>44</v>
      </c>
      <c r="F221" t="s">
        <v>45</v>
      </c>
      <c r="G221" t="s">
        <v>46</v>
      </c>
      <c r="H221">
        <v>4</v>
      </c>
      <c r="I221">
        <v>149.99</v>
      </c>
      <c r="J221" t="s">
        <v>34</v>
      </c>
      <c r="K221" t="s">
        <v>40</v>
      </c>
      <c r="L221" t="s">
        <v>27</v>
      </c>
      <c r="M221" s="3">
        <v>44412</v>
      </c>
      <c r="N221">
        <v>599.96</v>
      </c>
    </row>
    <row r="222" spans="1:14" x14ac:dyDescent="0.3">
      <c r="A222" t="s">
        <v>367</v>
      </c>
      <c r="B222" s="3">
        <v>45711</v>
      </c>
      <c r="C222" t="s">
        <v>211</v>
      </c>
      <c r="D222" t="s">
        <v>212</v>
      </c>
      <c r="E222" t="s">
        <v>117</v>
      </c>
      <c r="F222" t="s">
        <v>118</v>
      </c>
      <c r="G222" t="s">
        <v>19</v>
      </c>
      <c r="H222">
        <v>5</v>
      </c>
      <c r="I222">
        <v>89.99</v>
      </c>
      <c r="J222" t="s">
        <v>34</v>
      </c>
      <c r="K222" t="s">
        <v>50</v>
      </c>
      <c r="L222" t="s">
        <v>27</v>
      </c>
      <c r="M222" s="3">
        <v>45140</v>
      </c>
      <c r="N222">
        <v>449.95</v>
      </c>
    </row>
    <row r="223" spans="1:14" x14ac:dyDescent="0.3">
      <c r="A223" t="s">
        <v>368</v>
      </c>
      <c r="B223" s="3">
        <v>45712</v>
      </c>
      <c r="C223" t="s">
        <v>138</v>
      </c>
      <c r="D223" t="s">
        <v>139</v>
      </c>
      <c r="E223" t="s">
        <v>126</v>
      </c>
      <c r="F223" t="s">
        <v>127</v>
      </c>
      <c r="G223" t="s">
        <v>46</v>
      </c>
      <c r="H223">
        <v>2</v>
      </c>
      <c r="I223">
        <v>199.99</v>
      </c>
      <c r="J223" t="s">
        <v>20</v>
      </c>
      <c r="K223" t="s">
        <v>21</v>
      </c>
      <c r="L223" t="s">
        <v>27</v>
      </c>
      <c r="M223" s="3">
        <v>44573</v>
      </c>
      <c r="N223">
        <v>399.98</v>
      </c>
    </row>
    <row r="224" spans="1:14" x14ac:dyDescent="0.3">
      <c r="A224" t="s">
        <v>369</v>
      </c>
      <c r="B224" s="3">
        <v>45715</v>
      </c>
      <c r="C224" t="s">
        <v>259</v>
      </c>
      <c r="D224" t="s">
        <v>260</v>
      </c>
      <c r="E224" t="s">
        <v>31</v>
      </c>
      <c r="F224" t="s">
        <v>32</v>
      </c>
      <c r="G224" t="s">
        <v>33</v>
      </c>
      <c r="H224">
        <v>4</v>
      </c>
      <c r="I224">
        <v>59.99</v>
      </c>
      <c r="J224" t="s">
        <v>20</v>
      </c>
      <c r="K224" t="s">
        <v>50</v>
      </c>
      <c r="L224" t="s">
        <v>36</v>
      </c>
      <c r="M224" s="3">
        <v>45070</v>
      </c>
      <c r="N224">
        <v>239.96</v>
      </c>
    </row>
    <row r="225" spans="1:14" x14ac:dyDescent="0.3">
      <c r="A225" t="s">
        <v>370</v>
      </c>
      <c r="B225" s="3">
        <v>45715</v>
      </c>
      <c r="C225" t="s">
        <v>93</v>
      </c>
      <c r="D225" t="s">
        <v>94</v>
      </c>
      <c r="E225" t="s">
        <v>105</v>
      </c>
      <c r="F225" t="s">
        <v>106</v>
      </c>
      <c r="G225" t="s">
        <v>46</v>
      </c>
      <c r="H225">
        <v>2</v>
      </c>
      <c r="I225">
        <v>299.99</v>
      </c>
      <c r="J225" t="s">
        <v>34</v>
      </c>
      <c r="K225" t="s">
        <v>35</v>
      </c>
      <c r="L225" t="s">
        <v>22</v>
      </c>
      <c r="M225" s="3">
        <v>44576</v>
      </c>
      <c r="N225">
        <v>599.98</v>
      </c>
    </row>
    <row r="226" spans="1:14" x14ac:dyDescent="0.3">
      <c r="A226" t="s">
        <v>371</v>
      </c>
      <c r="B226" s="3">
        <v>45718</v>
      </c>
      <c r="C226" t="s">
        <v>55</v>
      </c>
      <c r="D226" t="s">
        <v>56</v>
      </c>
      <c r="E226" t="s">
        <v>44</v>
      </c>
      <c r="F226" t="s">
        <v>45</v>
      </c>
      <c r="G226" t="s">
        <v>46</v>
      </c>
      <c r="H226">
        <v>2</v>
      </c>
      <c r="I226">
        <v>149.99</v>
      </c>
      <c r="J226" t="s">
        <v>20</v>
      </c>
      <c r="K226" t="s">
        <v>21</v>
      </c>
      <c r="L226" t="s">
        <v>22</v>
      </c>
      <c r="M226" s="3">
        <v>45068</v>
      </c>
      <c r="N226">
        <v>299.98</v>
      </c>
    </row>
    <row r="227" spans="1:14" x14ac:dyDescent="0.3">
      <c r="A227" t="s">
        <v>372</v>
      </c>
      <c r="B227" s="3">
        <v>45720</v>
      </c>
      <c r="C227" t="s">
        <v>226</v>
      </c>
      <c r="D227" t="s">
        <v>227</v>
      </c>
      <c r="E227" t="s">
        <v>80</v>
      </c>
      <c r="F227" t="s">
        <v>81</v>
      </c>
      <c r="G227" t="s">
        <v>19</v>
      </c>
      <c r="H227">
        <v>5</v>
      </c>
      <c r="I227">
        <v>699.99</v>
      </c>
      <c r="J227" t="s">
        <v>57</v>
      </c>
      <c r="K227" t="s">
        <v>63</v>
      </c>
      <c r="L227" t="s">
        <v>27</v>
      </c>
      <c r="M227" s="3">
        <v>45161</v>
      </c>
      <c r="N227">
        <v>3499.95</v>
      </c>
    </row>
    <row r="228" spans="1:14" x14ac:dyDescent="0.3">
      <c r="A228" t="s">
        <v>373</v>
      </c>
      <c r="B228" s="3">
        <v>45721</v>
      </c>
      <c r="C228" t="s">
        <v>75</v>
      </c>
      <c r="D228" t="s">
        <v>76</v>
      </c>
      <c r="E228" t="s">
        <v>31</v>
      </c>
      <c r="F228" t="s">
        <v>32</v>
      </c>
      <c r="G228" t="s">
        <v>33</v>
      </c>
      <c r="H228">
        <v>5</v>
      </c>
      <c r="I228">
        <v>59.99</v>
      </c>
      <c r="J228" t="s">
        <v>20</v>
      </c>
      <c r="K228" t="s">
        <v>50</v>
      </c>
      <c r="L228" t="s">
        <v>27</v>
      </c>
      <c r="M228" s="3">
        <v>45291</v>
      </c>
      <c r="N228">
        <v>299.95</v>
      </c>
    </row>
    <row r="229" spans="1:14" x14ac:dyDescent="0.3">
      <c r="A229" t="s">
        <v>374</v>
      </c>
      <c r="B229" s="3">
        <v>45723</v>
      </c>
      <c r="C229" t="s">
        <v>15</v>
      </c>
      <c r="D229" t="s">
        <v>16</v>
      </c>
      <c r="E229" t="s">
        <v>117</v>
      </c>
      <c r="F229" t="s">
        <v>118</v>
      </c>
      <c r="G229" t="s">
        <v>19</v>
      </c>
      <c r="H229">
        <v>2</v>
      </c>
      <c r="I229">
        <v>89.99</v>
      </c>
      <c r="J229" t="s">
        <v>26</v>
      </c>
      <c r="K229" t="s">
        <v>50</v>
      </c>
      <c r="L229" t="s">
        <v>27</v>
      </c>
      <c r="M229" s="3">
        <v>45295</v>
      </c>
      <c r="N229">
        <v>179.98</v>
      </c>
    </row>
    <row r="230" spans="1:14" x14ac:dyDescent="0.3">
      <c r="A230" t="s">
        <v>375</v>
      </c>
      <c r="B230" s="3">
        <v>45723</v>
      </c>
      <c r="C230" t="s">
        <v>120</v>
      </c>
      <c r="D230" t="s">
        <v>121</v>
      </c>
      <c r="E230" t="s">
        <v>17</v>
      </c>
      <c r="F230" t="s">
        <v>18</v>
      </c>
      <c r="G230" t="s">
        <v>19</v>
      </c>
      <c r="H230">
        <v>5</v>
      </c>
      <c r="I230">
        <v>249.99</v>
      </c>
      <c r="J230" t="s">
        <v>20</v>
      </c>
      <c r="K230" t="s">
        <v>63</v>
      </c>
      <c r="L230" t="s">
        <v>36</v>
      </c>
      <c r="M230" s="3">
        <v>44540</v>
      </c>
      <c r="N230">
        <v>1249.95</v>
      </c>
    </row>
    <row r="231" spans="1:14" x14ac:dyDescent="0.3">
      <c r="A231" t="s">
        <v>376</v>
      </c>
      <c r="B231" s="3">
        <v>45724</v>
      </c>
      <c r="C231" t="s">
        <v>226</v>
      </c>
      <c r="D231" t="s">
        <v>227</v>
      </c>
      <c r="E231" t="s">
        <v>44</v>
      </c>
      <c r="F231" t="s">
        <v>45</v>
      </c>
      <c r="G231" t="s">
        <v>46</v>
      </c>
      <c r="H231">
        <v>2</v>
      </c>
      <c r="I231">
        <v>149.99</v>
      </c>
      <c r="J231" t="s">
        <v>34</v>
      </c>
      <c r="K231" t="s">
        <v>21</v>
      </c>
      <c r="L231" t="s">
        <v>27</v>
      </c>
      <c r="M231" s="3">
        <v>44632</v>
      </c>
      <c r="N231">
        <v>299.98</v>
      </c>
    </row>
    <row r="232" spans="1:14" x14ac:dyDescent="0.3">
      <c r="A232" t="s">
        <v>377</v>
      </c>
      <c r="B232" s="3">
        <v>45724</v>
      </c>
      <c r="C232" t="s">
        <v>144</v>
      </c>
      <c r="D232" t="s">
        <v>145</v>
      </c>
      <c r="E232" t="s">
        <v>61</v>
      </c>
      <c r="F232" t="s">
        <v>62</v>
      </c>
      <c r="G232" t="s">
        <v>19</v>
      </c>
      <c r="H232">
        <v>5</v>
      </c>
      <c r="I232">
        <v>899.99</v>
      </c>
      <c r="J232" t="s">
        <v>34</v>
      </c>
      <c r="K232" t="s">
        <v>63</v>
      </c>
      <c r="L232" t="s">
        <v>27</v>
      </c>
      <c r="M232" s="3">
        <v>45389</v>
      </c>
      <c r="N232">
        <v>4499.95</v>
      </c>
    </row>
    <row r="233" spans="1:14" x14ac:dyDescent="0.3">
      <c r="A233" t="s">
        <v>378</v>
      </c>
      <c r="B233" s="3">
        <v>45724</v>
      </c>
      <c r="C233" t="s">
        <v>55</v>
      </c>
      <c r="D233" t="s">
        <v>56</v>
      </c>
      <c r="E233" t="s">
        <v>44</v>
      </c>
      <c r="F233" t="s">
        <v>45</v>
      </c>
      <c r="G233" t="s">
        <v>46</v>
      </c>
      <c r="H233">
        <v>4</v>
      </c>
      <c r="I233">
        <v>149.99</v>
      </c>
      <c r="J233" t="s">
        <v>20</v>
      </c>
      <c r="K233" t="s">
        <v>21</v>
      </c>
      <c r="L233" t="s">
        <v>36</v>
      </c>
      <c r="M233" s="3">
        <v>45263</v>
      </c>
      <c r="N233">
        <v>599.96</v>
      </c>
    </row>
    <row r="234" spans="1:14" x14ac:dyDescent="0.3">
      <c r="A234" t="s">
        <v>379</v>
      </c>
      <c r="B234" s="3">
        <v>45726</v>
      </c>
      <c r="C234" t="s">
        <v>144</v>
      </c>
      <c r="D234" t="s">
        <v>145</v>
      </c>
      <c r="E234" t="s">
        <v>17</v>
      </c>
      <c r="F234" t="s">
        <v>18</v>
      </c>
      <c r="G234" t="s">
        <v>19</v>
      </c>
      <c r="H234">
        <v>1</v>
      </c>
      <c r="I234">
        <v>249.99</v>
      </c>
      <c r="J234" t="s">
        <v>20</v>
      </c>
      <c r="K234" t="s">
        <v>40</v>
      </c>
      <c r="L234" t="s">
        <v>36</v>
      </c>
      <c r="M234" s="3">
        <v>45117</v>
      </c>
      <c r="N234">
        <v>249.99</v>
      </c>
    </row>
    <row r="235" spans="1:14" x14ac:dyDescent="0.3">
      <c r="A235" t="s">
        <v>380</v>
      </c>
      <c r="B235" s="3">
        <v>45734</v>
      </c>
      <c r="C235" t="s">
        <v>192</v>
      </c>
      <c r="D235" t="s">
        <v>193</v>
      </c>
      <c r="E235" t="s">
        <v>31</v>
      </c>
      <c r="F235" t="s">
        <v>32</v>
      </c>
      <c r="G235" t="s">
        <v>33</v>
      </c>
      <c r="H235">
        <v>2</v>
      </c>
      <c r="I235">
        <v>59.99</v>
      </c>
      <c r="J235" t="s">
        <v>26</v>
      </c>
      <c r="K235" t="s">
        <v>50</v>
      </c>
      <c r="L235" t="s">
        <v>22</v>
      </c>
      <c r="M235" s="3">
        <v>45193</v>
      </c>
      <c r="N235">
        <v>119.98</v>
      </c>
    </row>
    <row r="236" spans="1:14" x14ac:dyDescent="0.3">
      <c r="A236" t="s">
        <v>381</v>
      </c>
      <c r="B236" s="3">
        <v>45737</v>
      </c>
      <c r="C236" t="s">
        <v>132</v>
      </c>
      <c r="D236" t="s">
        <v>133</v>
      </c>
      <c r="E236" t="s">
        <v>44</v>
      </c>
      <c r="F236" t="s">
        <v>45</v>
      </c>
      <c r="G236" t="s">
        <v>46</v>
      </c>
      <c r="H236">
        <v>2</v>
      </c>
      <c r="I236">
        <v>149.99</v>
      </c>
      <c r="J236" t="s">
        <v>20</v>
      </c>
      <c r="K236" t="s">
        <v>50</v>
      </c>
      <c r="L236" t="s">
        <v>27</v>
      </c>
      <c r="M236" s="3">
        <v>45233</v>
      </c>
      <c r="N236">
        <v>299.98</v>
      </c>
    </row>
    <row r="237" spans="1:14" x14ac:dyDescent="0.3">
      <c r="A237" t="s">
        <v>382</v>
      </c>
      <c r="B237" s="3">
        <v>45737</v>
      </c>
      <c r="C237" t="s">
        <v>150</v>
      </c>
      <c r="D237" t="s">
        <v>151</v>
      </c>
      <c r="E237" t="s">
        <v>61</v>
      </c>
      <c r="F237" t="s">
        <v>62</v>
      </c>
      <c r="G237" t="s">
        <v>19</v>
      </c>
      <c r="H237">
        <v>3</v>
      </c>
      <c r="I237">
        <v>899.99</v>
      </c>
      <c r="J237" t="s">
        <v>57</v>
      </c>
      <c r="K237" t="s">
        <v>40</v>
      </c>
      <c r="L237" t="s">
        <v>27</v>
      </c>
      <c r="M237" s="3">
        <v>44876</v>
      </c>
      <c r="N237">
        <v>2699.97</v>
      </c>
    </row>
    <row r="238" spans="1:14" x14ac:dyDescent="0.3">
      <c r="A238" t="s">
        <v>383</v>
      </c>
      <c r="B238" s="3">
        <v>45737</v>
      </c>
      <c r="C238" t="s">
        <v>48</v>
      </c>
      <c r="D238" t="s">
        <v>49</v>
      </c>
      <c r="E238" t="s">
        <v>61</v>
      </c>
      <c r="F238" t="s">
        <v>62</v>
      </c>
      <c r="G238" t="s">
        <v>19</v>
      </c>
      <c r="H238">
        <v>3</v>
      </c>
      <c r="I238">
        <v>899.99</v>
      </c>
      <c r="J238" t="s">
        <v>34</v>
      </c>
      <c r="K238" t="s">
        <v>40</v>
      </c>
      <c r="L238" t="s">
        <v>22</v>
      </c>
      <c r="M238" s="3">
        <v>44975</v>
      </c>
      <c r="N238">
        <v>2699.97</v>
      </c>
    </row>
    <row r="239" spans="1:14" x14ac:dyDescent="0.3">
      <c r="A239" t="s">
        <v>384</v>
      </c>
      <c r="B239" s="3">
        <v>45739</v>
      </c>
      <c r="C239" t="s">
        <v>15</v>
      </c>
      <c r="D239" t="s">
        <v>16</v>
      </c>
      <c r="E239" t="s">
        <v>105</v>
      </c>
      <c r="F239" t="s">
        <v>106</v>
      </c>
      <c r="G239" t="s">
        <v>46</v>
      </c>
      <c r="H239">
        <v>3</v>
      </c>
      <c r="I239">
        <v>299.99</v>
      </c>
      <c r="J239" t="s">
        <v>26</v>
      </c>
      <c r="K239" t="s">
        <v>50</v>
      </c>
      <c r="L239" t="s">
        <v>27</v>
      </c>
      <c r="M239" s="3">
        <v>45234</v>
      </c>
      <c r="N239">
        <v>899.97</v>
      </c>
    </row>
    <row r="240" spans="1:14" x14ac:dyDescent="0.3">
      <c r="A240" t="s">
        <v>385</v>
      </c>
      <c r="B240" s="3">
        <v>45740</v>
      </c>
      <c r="C240" t="s">
        <v>386</v>
      </c>
      <c r="D240" t="s">
        <v>387</v>
      </c>
      <c r="E240" t="s">
        <v>44</v>
      </c>
      <c r="F240" t="s">
        <v>45</v>
      </c>
      <c r="G240" t="s">
        <v>46</v>
      </c>
      <c r="H240">
        <v>4</v>
      </c>
      <c r="I240">
        <v>149.99</v>
      </c>
      <c r="J240" t="s">
        <v>34</v>
      </c>
      <c r="K240" t="s">
        <v>50</v>
      </c>
      <c r="L240" t="s">
        <v>36</v>
      </c>
      <c r="M240" s="3">
        <v>44560</v>
      </c>
      <c r="N240">
        <v>599.96</v>
      </c>
    </row>
    <row r="241" spans="1:14"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row>
    <row r="242" spans="1:14" x14ac:dyDescent="0.3">
      <c r="A242" t="s">
        <v>389</v>
      </c>
      <c r="B242" s="3">
        <v>45745</v>
      </c>
      <c r="C242" t="s">
        <v>185</v>
      </c>
      <c r="D242" t="s">
        <v>186</v>
      </c>
      <c r="E242" t="s">
        <v>117</v>
      </c>
      <c r="F242" t="s">
        <v>118</v>
      </c>
      <c r="G242" t="s">
        <v>19</v>
      </c>
      <c r="H242">
        <v>5</v>
      </c>
      <c r="I242">
        <v>89.99</v>
      </c>
      <c r="J242" t="s">
        <v>34</v>
      </c>
      <c r="K242" t="s">
        <v>35</v>
      </c>
      <c r="L242" t="s">
        <v>22</v>
      </c>
      <c r="M242" s="3">
        <v>44704</v>
      </c>
      <c r="N242">
        <v>449.95</v>
      </c>
    </row>
    <row r="243" spans="1:14" x14ac:dyDescent="0.3">
      <c r="A243" t="s">
        <v>390</v>
      </c>
      <c r="B243" s="3">
        <v>45746</v>
      </c>
      <c r="C243" t="s">
        <v>93</v>
      </c>
      <c r="D243" t="s">
        <v>94</v>
      </c>
      <c r="E243" t="s">
        <v>44</v>
      </c>
      <c r="F243" t="s">
        <v>45</v>
      </c>
      <c r="G243" t="s">
        <v>46</v>
      </c>
      <c r="H243">
        <v>3</v>
      </c>
      <c r="I243">
        <v>149.99</v>
      </c>
      <c r="J243" t="s">
        <v>34</v>
      </c>
      <c r="K243" t="s">
        <v>21</v>
      </c>
      <c r="L243" t="s">
        <v>36</v>
      </c>
      <c r="M243" s="3">
        <v>45171</v>
      </c>
      <c r="N243">
        <v>449.97</v>
      </c>
    </row>
    <row r="244" spans="1:14" x14ac:dyDescent="0.3">
      <c r="A244" t="s">
        <v>391</v>
      </c>
      <c r="B244" s="3">
        <v>45746</v>
      </c>
      <c r="C244" t="s">
        <v>65</v>
      </c>
      <c r="D244" t="s">
        <v>66</v>
      </c>
      <c r="E244" t="s">
        <v>117</v>
      </c>
      <c r="F244" t="s">
        <v>118</v>
      </c>
      <c r="G244" t="s">
        <v>19</v>
      </c>
      <c r="H244">
        <v>2</v>
      </c>
      <c r="I244">
        <v>89.99</v>
      </c>
      <c r="J244" t="s">
        <v>57</v>
      </c>
      <c r="K244" t="s">
        <v>50</v>
      </c>
      <c r="L244" t="s">
        <v>27</v>
      </c>
      <c r="M244" s="3">
        <v>44522</v>
      </c>
      <c r="N244">
        <v>179.98</v>
      </c>
    </row>
    <row r="245" spans="1:14" x14ac:dyDescent="0.3">
      <c r="A245" t="s">
        <v>392</v>
      </c>
      <c r="B245" s="3">
        <v>45748</v>
      </c>
      <c r="C245" t="s">
        <v>102</v>
      </c>
      <c r="D245" t="s">
        <v>103</v>
      </c>
      <c r="E245" t="s">
        <v>80</v>
      </c>
      <c r="F245" t="s">
        <v>81</v>
      </c>
      <c r="G245" t="s">
        <v>19</v>
      </c>
      <c r="H245">
        <v>2</v>
      </c>
      <c r="I245">
        <v>699.99</v>
      </c>
      <c r="J245" t="s">
        <v>34</v>
      </c>
      <c r="K245" t="s">
        <v>40</v>
      </c>
      <c r="L245" t="s">
        <v>36</v>
      </c>
      <c r="M245" s="3">
        <v>44618</v>
      </c>
      <c r="N245">
        <v>1399.98</v>
      </c>
    </row>
    <row r="246" spans="1:14" x14ac:dyDescent="0.3">
      <c r="A246" t="s">
        <v>393</v>
      </c>
      <c r="B246" s="3">
        <v>45749</v>
      </c>
      <c r="C246" t="s">
        <v>123</v>
      </c>
      <c r="D246" t="s">
        <v>124</v>
      </c>
      <c r="E246" t="s">
        <v>61</v>
      </c>
      <c r="F246" t="s">
        <v>62</v>
      </c>
      <c r="G246" t="s">
        <v>19</v>
      </c>
      <c r="H246">
        <v>3</v>
      </c>
      <c r="I246">
        <v>899.99</v>
      </c>
      <c r="J246" t="s">
        <v>20</v>
      </c>
      <c r="K246" t="s">
        <v>21</v>
      </c>
      <c r="L246" t="s">
        <v>36</v>
      </c>
      <c r="M246" s="3">
        <v>44953</v>
      </c>
      <c r="N246">
        <v>2699.97</v>
      </c>
    </row>
    <row r="247" spans="1:14"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row>
    <row r="248" spans="1:14" x14ac:dyDescent="0.3">
      <c r="A248" t="s">
        <v>395</v>
      </c>
      <c r="B248" s="3">
        <v>45756</v>
      </c>
      <c r="C248" t="s">
        <v>59</v>
      </c>
      <c r="D248" t="s">
        <v>60</v>
      </c>
      <c r="E248" t="s">
        <v>117</v>
      </c>
      <c r="F248" t="s">
        <v>118</v>
      </c>
      <c r="G248" t="s">
        <v>19</v>
      </c>
      <c r="H248">
        <v>1</v>
      </c>
      <c r="I248">
        <v>89.99</v>
      </c>
      <c r="J248" t="s">
        <v>57</v>
      </c>
      <c r="K248" t="s">
        <v>63</v>
      </c>
      <c r="L248" t="s">
        <v>22</v>
      </c>
      <c r="M248" s="3">
        <v>45346</v>
      </c>
      <c r="N248">
        <v>89.99</v>
      </c>
    </row>
    <row r="249" spans="1:14"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row>
    <row r="250" spans="1:14" x14ac:dyDescent="0.3">
      <c r="A250" t="s">
        <v>397</v>
      </c>
      <c r="B250" s="3">
        <v>45758</v>
      </c>
      <c r="C250" t="s">
        <v>226</v>
      </c>
      <c r="D250" t="s">
        <v>227</v>
      </c>
      <c r="E250" t="s">
        <v>117</v>
      </c>
      <c r="F250" t="s">
        <v>118</v>
      </c>
      <c r="G250" t="s">
        <v>19</v>
      </c>
      <c r="H250">
        <v>2</v>
      </c>
      <c r="I250">
        <v>89.99</v>
      </c>
      <c r="J250" t="s">
        <v>57</v>
      </c>
      <c r="K250" t="s">
        <v>63</v>
      </c>
      <c r="L250" t="s">
        <v>22</v>
      </c>
      <c r="M250" s="3">
        <v>45088</v>
      </c>
      <c r="N250">
        <v>179.98</v>
      </c>
    </row>
    <row r="251" spans="1:14"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706C-03AB-407A-B383-3625AFFC4526}">
  <dimension ref="A1:N251"/>
  <sheetViews>
    <sheetView workbookViewId="0">
      <selection activeCell="L5" sqref="L5"/>
    </sheetView>
  </sheetViews>
  <sheetFormatPr defaultRowHeight="14.4" x14ac:dyDescent="0.3"/>
  <cols>
    <col min="2" max="2" width="10.33203125" bestFit="1" customWidth="1"/>
    <col min="4" max="4" width="13.88671875" customWidth="1"/>
    <col min="8" max="8" width="12.5546875" customWidth="1"/>
    <col min="9" max="9" width="13.44140625" customWidth="1"/>
    <col min="10" max="10" width="15.6640625" customWidth="1"/>
    <col min="11" max="11" width="14.77734375" customWidth="1"/>
    <col min="12" max="12" width="16.5546875" customWidth="1"/>
    <col min="13" max="13" width="10.33203125" bestFit="1" customWidth="1"/>
    <col min="14" max="14" width="18"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3">
        <v>45393</v>
      </c>
      <c r="C2" t="s">
        <v>15</v>
      </c>
      <c r="D2" t="s">
        <v>16</v>
      </c>
      <c r="E2" t="s">
        <v>17</v>
      </c>
      <c r="F2" t="s">
        <v>18</v>
      </c>
      <c r="G2" t="s">
        <v>19</v>
      </c>
      <c r="H2">
        <v>3</v>
      </c>
      <c r="I2">
        <v>249.99</v>
      </c>
      <c r="J2" t="s">
        <v>20</v>
      </c>
      <c r="K2" t="s">
        <v>21</v>
      </c>
      <c r="L2" t="s">
        <v>22</v>
      </c>
      <c r="M2" s="3">
        <v>44425</v>
      </c>
      <c r="N2">
        <v>749.97</v>
      </c>
    </row>
    <row r="3" spans="1:14" x14ac:dyDescent="0.3">
      <c r="A3" t="s">
        <v>23</v>
      </c>
      <c r="B3" s="3">
        <v>45396</v>
      </c>
      <c r="C3" t="s">
        <v>24</v>
      </c>
      <c r="D3" t="s">
        <v>25</v>
      </c>
      <c r="E3" t="s">
        <v>17</v>
      </c>
      <c r="F3" t="s">
        <v>18</v>
      </c>
      <c r="G3" t="s">
        <v>19</v>
      </c>
      <c r="H3">
        <v>3</v>
      </c>
      <c r="I3">
        <v>249.99</v>
      </c>
      <c r="J3" t="s">
        <v>26</v>
      </c>
      <c r="K3" t="s">
        <v>21</v>
      </c>
      <c r="L3" t="s">
        <v>27</v>
      </c>
      <c r="M3" s="3">
        <v>44575</v>
      </c>
      <c r="N3">
        <v>749.97</v>
      </c>
    </row>
    <row r="4" spans="1:14" x14ac:dyDescent="0.3">
      <c r="A4" t="s">
        <v>28</v>
      </c>
      <c r="B4" s="3">
        <v>45399</v>
      </c>
      <c r="C4" t="s">
        <v>29</v>
      </c>
      <c r="D4" t="s">
        <v>30</v>
      </c>
      <c r="E4" t="s">
        <v>31</v>
      </c>
      <c r="F4" t="s">
        <v>32</v>
      </c>
      <c r="G4" t="s">
        <v>33</v>
      </c>
      <c r="H4">
        <v>3</v>
      </c>
      <c r="I4">
        <v>59.99</v>
      </c>
      <c r="J4" t="s">
        <v>34</v>
      </c>
      <c r="K4" t="s">
        <v>35</v>
      </c>
      <c r="L4" t="s">
        <v>36</v>
      </c>
      <c r="M4" s="3">
        <v>45262</v>
      </c>
      <c r="N4">
        <v>179.97</v>
      </c>
    </row>
    <row r="5" spans="1:14" x14ac:dyDescent="0.3">
      <c r="A5" t="s">
        <v>37</v>
      </c>
      <c r="B5" s="3">
        <v>45400</v>
      </c>
      <c r="C5" t="s">
        <v>38</v>
      </c>
      <c r="D5" t="s">
        <v>39</v>
      </c>
      <c r="E5" t="s">
        <v>31</v>
      </c>
      <c r="F5" t="s">
        <v>32</v>
      </c>
      <c r="G5" t="s">
        <v>33</v>
      </c>
      <c r="H5">
        <v>3</v>
      </c>
      <c r="I5">
        <v>59.99</v>
      </c>
      <c r="J5" t="s">
        <v>20</v>
      </c>
      <c r="K5" t="s">
        <v>40</v>
      </c>
      <c r="L5" t="s">
        <v>27</v>
      </c>
      <c r="M5" s="3">
        <v>45114</v>
      </c>
      <c r="N5">
        <v>179.97</v>
      </c>
    </row>
    <row r="6" spans="1:14" x14ac:dyDescent="0.3">
      <c r="A6" t="s">
        <v>41</v>
      </c>
      <c r="B6" s="3">
        <v>45400</v>
      </c>
      <c r="C6" t="s">
        <v>42</v>
      </c>
      <c r="D6" t="s">
        <v>43</v>
      </c>
      <c r="E6" t="s">
        <v>44</v>
      </c>
      <c r="F6" t="s">
        <v>45</v>
      </c>
      <c r="G6" t="s">
        <v>46</v>
      </c>
      <c r="H6">
        <v>5</v>
      </c>
      <c r="I6">
        <v>149.99</v>
      </c>
      <c r="J6" t="s">
        <v>26</v>
      </c>
      <c r="K6" t="s">
        <v>40</v>
      </c>
      <c r="L6" t="s">
        <v>27</v>
      </c>
      <c r="M6" s="3">
        <v>45295</v>
      </c>
      <c r="N6">
        <v>749.95</v>
      </c>
    </row>
    <row r="7" spans="1:14" x14ac:dyDescent="0.3">
      <c r="A7" t="s">
        <v>47</v>
      </c>
      <c r="B7" s="3">
        <v>45403</v>
      </c>
      <c r="C7" t="s">
        <v>48</v>
      </c>
      <c r="D7" t="s">
        <v>49</v>
      </c>
      <c r="E7" t="s">
        <v>31</v>
      </c>
      <c r="F7" t="s">
        <v>32</v>
      </c>
      <c r="G7" t="s">
        <v>33</v>
      </c>
      <c r="H7">
        <v>2</v>
      </c>
      <c r="I7">
        <v>59.99</v>
      </c>
      <c r="J7" t="s">
        <v>20</v>
      </c>
      <c r="K7" t="s">
        <v>50</v>
      </c>
      <c r="L7" t="s">
        <v>36</v>
      </c>
      <c r="M7" s="3">
        <v>44746</v>
      </c>
      <c r="N7">
        <v>119.98</v>
      </c>
    </row>
    <row r="8" spans="1:14" x14ac:dyDescent="0.3">
      <c r="A8" t="s">
        <v>51</v>
      </c>
      <c r="B8" s="3">
        <v>45403</v>
      </c>
      <c r="C8" t="s">
        <v>48</v>
      </c>
      <c r="D8" t="s">
        <v>49</v>
      </c>
      <c r="E8" t="s">
        <v>52</v>
      </c>
      <c r="F8" t="s">
        <v>53</v>
      </c>
      <c r="G8" t="s">
        <v>19</v>
      </c>
      <c r="H8">
        <v>5</v>
      </c>
      <c r="I8">
        <v>149.99</v>
      </c>
      <c r="J8" t="s">
        <v>26</v>
      </c>
      <c r="K8" t="s">
        <v>21</v>
      </c>
      <c r="L8" t="s">
        <v>36</v>
      </c>
      <c r="M8" s="3">
        <v>44418</v>
      </c>
      <c r="N8">
        <v>749.95</v>
      </c>
    </row>
    <row r="9" spans="1:14" x14ac:dyDescent="0.3">
      <c r="A9" t="s">
        <v>54</v>
      </c>
      <c r="B9" s="3">
        <v>45403</v>
      </c>
      <c r="C9" t="s">
        <v>55</v>
      </c>
      <c r="D9" t="s">
        <v>56</v>
      </c>
      <c r="E9" t="s">
        <v>31</v>
      </c>
      <c r="F9" t="s">
        <v>32</v>
      </c>
      <c r="G9" t="s">
        <v>33</v>
      </c>
      <c r="H9">
        <v>3</v>
      </c>
      <c r="I9">
        <v>59.99</v>
      </c>
      <c r="J9" t="s">
        <v>57</v>
      </c>
      <c r="K9" t="s">
        <v>35</v>
      </c>
      <c r="L9" t="s">
        <v>22</v>
      </c>
      <c r="M9" s="3">
        <v>45007</v>
      </c>
      <c r="N9">
        <v>179.97</v>
      </c>
    </row>
    <row r="10" spans="1:14" x14ac:dyDescent="0.3">
      <c r="A10" t="s">
        <v>58</v>
      </c>
      <c r="B10" s="3">
        <v>45405</v>
      </c>
      <c r="C10" t="s">
        <v>59</v>
      </c>
      <c r="D10" t="s">
        <v>60</v>
      </c>
      <c r="E10" t="s">
        <v>61</v>
      </c>
      <c r="F10" t="s">
        <v>62</v>
      </c>
      <c r="G10" t="s">
        <v>19</v>
      </c>
      <c r="H10">
        <v>3</v>
      </c>
      <c r="I10">
        <v>899.99</v>
      </c>
      <c r="J10" t="s">
        <v>34</v>
      </c>
      <c r="K10" t="s">
        <v>63</v>
      </c>
      <c r="L10" t="s">
        <v>36</v>
      </c>
      <c r="M10" s="3">
        <v>45299</v>
      </c>
      <c r="N10">
        <v>2699.97</v>
      </c>
    </row>
    <row r="11" spans="1:14" x14ac:dyDescent="0.3">
      <c r="A11" t="s">
        <v>64</v>
      </c>
      <c r="B11" s="3">
        <v>45408</v>
      </c>
      <c r="C11" t="s">
        <v>65</v>
      </c>
      <c r="D11" t="s">
        <v>66</v>
      </c>
      <c r="E11" t="s">
        <v>31</v>
      </c>
      <c r="F11" t="s">
        <v>32</v>
      </c>
      <c r="G11" t="s">
        <v>33</v>
      </c>
      <c r="H11">
        <v>3</v>
      </c>
      <c r="I11">
        <v>59.99</v>
      </c>
      <c r="J11" t="s">
        <v>20</v>
      </c>
      <c r="K11" t="s">
        <v>50</v>
      </c>
      <c r="L11" t="s">
        <v>27</v>
      </c>
      <c r="M11" s="3">
        <v>45207</v>
      </c>
      <c r="N11">
        <v>179.97</v>
      </c>
    </row>
    <row r="12" spans="1:14" x14ac:dyDescent="0.3">
      <c r="A12" t="s">
        <v>67</v>
      </c>
      <c r="B12" s="3">
        <v>45408</v>
      </c>
      <c r="C12" t="s">
        <v>68</v>
      </c>
      <c r="D12" t="s">
        <v>69</v>
      </c>
      <c r="E12" t="s">
        <v>44</v>
      </c>
      <c r="F12" t="s">
        <v>45</v>
      </c>
      <c r="G12" t="s">
        <v>46</v>
      </c>
      <c r="H12">
        <v>1</v>
      </c>
      <c r="I12">
        <v>149.99</v>
      </c>
      <c r="J12" t="s">
        <v>26</v>
      </c>
      <c r="K12" t="s">
        <v>50</v>
      </c>
      <c r="L12" t="s">
        <v>36</v>
      </c>
      <c r="M12" s="3">
        <v>45103</v>
      </c>
      <c r="N12">
        <v>149.99</v>
      </c>
    </row>
    <row r="13" spans="1:14" x14ac:dyDescent="0.3">
      <c r="A13" t="s">
        <v>70</v>
      </c>
      <c r="B13" s="3">
        <v>45408</v>
      </c>
      <c r="C13" t="s">
        <v>38</v>
      </c>
      <c r="D13" t="s">
        <v>39</v>
      </c>
      <c r="E13" t="s">
        <v>44</v>
      </c>
      <c r="F13" t="s">
        <v>45</v>
      </c>
      <c r="G13" t="s">
        <v>46</v>
      </c>
      <c r="H13">
        <v>5</v>
      </c>
      <c r="I13">
        <v>149.99</v>
      </c>
      <c r="J13" t="s">
        <v>57</v>
      </c>
      <c r="K13" t="s">
        <v>40</v>
      </c>
      <c r="L13" t="s">
        <v>22</v>
      </c>
      <c r="M13" s="3">
        <v>44830</v>
      </c>
      <c r="N13">
        <v>749.95</v>
      </c>
    </row>
    <row r="14" spans="1:14" x14ac:dyDescent="0.3">
      <c r="A14" t="s">
        <v>71</v>
      </c>
      <c r="B14" s="3">
        <v>45408</v>
      </c>
      <c r="C14" t="s">
        <v>72</v>
      </c>
      <c r="D14" t="s">
        <v>73</v>
      </c>
      <c r="E14" t="s">
        <v>44</v>
      </c>
      <c r="F14" t="s">
        <v>45</v>
      </c>
      <c r="G14" t="s">
        <v>46</v>
      </c>
      <c r="H14">
        <v>3</v>
      </c>
      <c r="I14">
        <v>149.99</v>
      </c>
      <c r="J14" t="s">
        <v>20</v>
      </c>
      <c r="K14" t="s">
        <v>40</v>
      </c>
      <c r="L14" t="s">
        <v>27</v>
      </c>
      <c r="M14" s="3">
        <v>44806</v>
      </c>
      <c r="N14">
        <v>449.97</v>
      </c>
    </row>
    <row r="15" spans="1:14" x14ac:dyDescent="0.3">
      <c r="A15" t="s">
        <v>74</v>
      </c>
      <c r="B15" s="3">
        <v>45409</v>
      </c>
      <c r="C15" t="s">
        <v>75</v>
      </c>
      <c r="D15" t="s">
        <v>76</v>
      </c>
      <c r="E15" t="s">
        <v>31</v>
      </c>
      <c r="F15" t="s">
        <v>32</v>
      </c>
      <c r="G15" t="s">
        <v>33</v>
      </c>
      <c r="H15">
        <v>3</v>
      </c>
      <c r="I15">
        <v>59.99</v>
      </c>
      <c r="J15" t="s">
        <v>26</v>
      </c>
      <c r="K15" t="s">
        <v>40</v>
      </c>
      <c r="L15" t="s">
        <v>36</v>
      </c>
      <c r="M15" s="3">
        <v>45351</v>
      </c>
      <c r="N15">
        <v>179.97</v>
      </c>
    </row>
    <row r="16" spans="1:14" x14ac:dyDescent="0.3">
      <c r="A16" t="s">
        <v>77</v>
      </c>
      <c r="B16" s="3">
        <v>45409</v>
      </c>
      <c r="C16" t="s">
        <v>78</v>
      </c>
      <c r="D16" t="s">
        <v>79</v>
      </c>
      <c r="E16" t="s">
        <v>80</v>
      </c>
      <c r="F16" t="s">
        <v>81</v>
      </c>
      <c r="G16" t="s">
        <v>19</v>
      </c>
      <c r="H16">
        <v>3</v>
      </c>
      <c r="I16">
        <v>699.99</v>
      </c>
      <c r="J16" t="s">
        <v>26</v>
      </c>
      <c r="K16" t="s">
        <v>50</v>
      </c>
      <c r="L16" t="s">
        <v>22</v>
      </c>
      <c r="M16" s="3">
        <v>44577</v>
      </c>
      <c r="N16">
        <v>2099.9699999999998</v>
      </c>
    </row>
    <row r="17" spans="1:14" x14ac:dyDescent="0.3">
      <c r="A17" t="s">
        <v>82</v>
      </c>
      <c r="B17" s="3">
        <v>45409</v>
      </c>
      <c r="C17" t="s">
        <v>83</v>
      </c>
      <c r="D17" t="s">
        <v>84</v>
      </c>
      <c r="E17" t="s">
        <v>61</v>
      </c>
      <c r="F17" t="s">
        <v>62</v>
      </c>
      <c r="G17" t="s">
        <v>19</v>
      </c>
      <c r="H17">
        <v>1</v>
      </c>
      <c r="I17">
        <v>899.99</v>
      </c>
      <c r="J17" t="s">
        <v>57</v>
      </c>
      <c r="K17" t="s">
        <v>40</v>
      </c>
      <c r="L17" t="s">
        <v>36</v>
      </c>
      <c r="M17" s="3">
        <v>44920</v>
      </c>
      <c r="N17">
        <v>899.99</v>
      </c>
    </row>
    <row r="18" spans="1:14" x14ac:dyDescent="0.3">
      <c r="A18" t="s">
        <v>85</v>
      </c>
      <c r="B18" s="3">
        <v>45410</v>
      </c>
      <c r="C18" t="s">
        <v>86</v>
      </c>
      <c r="D18" t="s">
        <v>87</v>
      </c>
      <c r="E18" t="s">
        <v>44</v>
      </c>
      <c r="F18" t="s">
        <v>45</v>
      </c>
      <c r="G18" t="s">
        <v>46</v>
      </c>
      <c r="H18">
        <v>4</v>
      </c>
      <c r="I18">
        <v>149.99</v>
      </c>
      <c r="J18" t="s">
        <v>57</v>
      </c>
      <c r="K18" t="s">
        <v>40</v>
      </c>
      <c r="L18" t="s">
        <v>27</v>
      </c>
      <c r="M18" s="3">
        <v>45374</v>
      </c>
      <c r="N18">
        <v>599.96</v>
      </c>
    </row>
    <row r="19" spans="1:14" x14ac:dyDescent="0.3">
      <c r="A19" t="s">
        <v>88</v>
      </c>
      <c r="B19" s="3">
        <v>45410</v>
      </c>
      <c r="C19" t="s">
        <v>89</v>
      </c>
      <c r="D19" t="s">
        <v>90</v>
      </c>
      <c r="E19" t="s">
        <v>80</v>
      </c>
      <c r="F19" t="s">
        <v>81</v>
      </c>
      <c r="G19" t="s">
        <v>19</v>
      </c>
      <c r="H19">
        <v>2</v>
      </c>
      <c r="I19">
        <v>699.99</v>
      </c>
      <c r="J19" t="s">
        <v>20</v>
      </c>
      <c r="K19" t="s">
        <v>40</v>
      </c>
      <c r="L19" t="s">
        <v>22</v>
      </c>
      <c r="M19" s="3">
        <v>44781</v>
      </c>
      <c r="N19">
        <v>1399.98</v>
      </c>
    </row>
    <row r="20" spans="1:14" x14ac:dyDescent="0.3">
      <c r="A20" t="s">
        <v>91</v>
      </c>
      <c r="B20" s="3">
        <v>45410</v>
      </c>
      <c r="C20" t="s">
        <v>86</v>
      </c>
      <c r="D20" t="s">
        <v>87</v>
      </c>
      <c r="E20" t="s">
        <v>61</v>
      </c>
      <c r="F20" t="s">
        <v>62</v>
      </c>
      <c r="G20" t="s">
        <v>19</v>
      </c>
      <c r="H20">
        <v>4</v>
      </c>
      <c r="I20">
        <v>899.99</v>
      </c>
      <c r="J20" t="s">
        <v>26</v>
      </c>
      <c r="K20" t="s">
        <v>50</v>
      </c>
      <c r="L20" t="s">
        <v>36</v>
      </c>
      <c r="M20" s="3">
        <v>45327</v>
      </c>
      <c r="N20">
        <v>3599.96</v>
      </c>
    </row>
    <row r="21" spans="1:14" x14ac:dyDescent="0.3">
      <c r="A21" t="s">
        <v>92</v>
      </c>
      <c r="B21" s="3">
        <v>45410</v>
      </c>
      <c r="C21" t="s">
        <v>93</v>
      </c>
      <c r="D21" t="s">
        <v>94</v>
      </c>
      <c r="E21" t="s">
        <v>17</v>
      </c>
      <c r="F21" t="s">
        <v>18</v>
      </c>
      <c r="G21" t="s">
        <v>19</v>
      </c>
      <c r="H21">
        <v>3</v>
      </c>
      <c r="I21">
        <v>249.99</v>
      </c>
      <c r="J21" t="s">
        <v>26</v>
      </c>
      <c r="K21" t="s">
        <v>40</v>
      </c>
      <c r="L21" t="s">
        <v>27</v>
      </c>
      <c r="M21" s="3">
        <v>45224</v>
      </c>
      <c r="N21">
        <v>749.97</v>
      </c>
    </row>
    <row r="22" spans="1:14" x14ac:dyDescent="0.3">
      <c r="A22" t="s">
        <v>95</v>
      </c>
      <c r="B22" s="3">
        <v>45412</v>
      </c>
      <c r="C22" t="s">
        <v>96</v>
      </c>
      <c r="D22" t="s">
        <v>97</v>
      </c>
      <c r="E22" t="s">
        <v>80</v>
      </c>
      <c r="F22" t="s">
        <v>81</v>
      </c>
      <c r="G22" t="s">
        <v>19</v>
      </c>
      <c r="H22">
        <v>5</v>
      </c>
      <c r="I22">
        <v>699.99</v>
      </c>
      <c r="J22" t="s">
        <v>20</v>
      </c>
      <c r="K22" t="s">
        <v>50</v>
      </c>
      <c r="L22" t="s">
        <v>22</v>
      </c>
      <c r="M22" s="3">
        <v>45167</v>
      </c>
      <c r="N22">
        <v>3499.95</v>
      </c>
    </row>
    <row r="23" spans="1:14" x14ac:dyDescent="0.3">
      <c r="A23" t="s">
        <v>98</v>
      </c>
      <c r="B23" s="3">
        <v>45413</v>
      </c>
      <c r="C23" t="s">
        <v>99</v>
      </c>
      <c r="D23" t="s">
        <v>100</v>
      </c>
      <c r="E23" t="s">
        <v>80</v>
      </c>
      <c r="F23" t="s">
        <v>81</v>
      </c>
      <c r="G23" t="s">
        <v>19</v>
      </c>
      <c r="H23">
        <v>4</v>
      </c>
      <c r="I23">
        <v>699.99</v>
      </c>
      <c r="J23" t="s">
        <v>20</v>
      </c>
      <c r="K23" t="s">
        <v>63</v>
      </c>
      <c r="L23" t="s">
        <v>36</v>
      </c>
      <c r="M23" s="3">
        <v>44409</v>
      </c>
      <c r="N23">
        <v>2799.96</v>
      </c>
    </row>
    <row r="24" spans="1:14" x14ac:dyDescent="0.3">
      <c r="A24" t="s">
        <v>101</v>
      </c>
      <c r="B24" s="3">
        <v>45415</v>
      </c>
      <c r="C24" t="s">
        <v>102</v>
      </c>
      <c r="D24" t="s">
        <v>103</v>
      </c>
      <c r="E24" t="s">
        <v>17</v>
      </c>
      <c r="F24" t="s">
        <v>18</v>
      </c>
      <c r="G24" t="s">
        <v>19</v>
      </c>
      <c r="H24">
        <v>4</v>
      </c>
      <c r="I24">
        <v>249.99</v>
      </c>
      <c r="J24" t="s">
        <v>34</v>
      </c>
      <c r="K24" t="s">
        <v>40</v>
      </c>
      <c r="L24" t="s">
        <v>36</v>
      </c>
      <c r="M24" s="3">
        <v>44468</v>
      </c>
      <c r="N24">
        <v>999.96</v>
      </c>
    </row>
    <row r="25" spans="1:14" x14ac:dyDescent="0.3">
      <c r="A25" t="s">
        <v>104</v>
      </c>
      <c r="B25" s="3">
        <v>45416</v>
      </c>
      <c r="C25" t="s">
        <v>86</v>
      </c>
      <c r="D25" t="s">
        <v>87</v>
      </c>
      <c r="E25" t="s">
        <v>105</v>
      </c>
      <c r="F25" t="s">
        <v>106</v>
      </c>
      <c r="G25" t="s">
        <v>46</v>
      </c>
      <c r="H25">
        <v>4</v>
      </c>
      <c r="I25">
        <v>299.99</v>
      </c>
      <c r="J25" t="s">
        <v>20</v>
      </c>
      <c r="K25" t="s">
        <v>50</v>
      </c>
      <c r="L25" t="s">
        <v>27</v>
      </c>
      <c r="M25" s="3">
        <v>44716</v>
      </c>
      <c r="N25">
        <v>1199.96</v>
      </c>
    </row>
    <row r="26" spans="1:14" x14ac:dyDescent="0.3">
      <c r="A26" t="s">
        <v>107</v>
      </c>
      <c r="B26" s="3">
        <v>45422</v>
      </c>
      <c r="C26" t="s">
        <v>108</v>
      </c>
      <c r="D26" t="s">
        <v>109</v>
      </c>
      <c r="E26" t="s">
        <v>17</v>
      </c>
      <c r="F26" t="s">
        <v>18</v>
      </c>
      <c r="G26" t="s">
        <v>19</v>
      </c>
      <c r="H26">
        <v>5</v>
      </c>
      <c r="I26">
        <v>249.99</v>
      </c>
      <c r="J26" t="s">
        <v>26</v>
      </c>
      <c r="K26" t="s">
        <v>50</v>
      </c>
      <c r="L26" t="s">
        <v>36</v>
      </c>
      <c r="M26" s="3">
        <v>44525</v>
      </c>
      <c r="N26">
        <v>1249.95</v>
      </c>
    </row>
    <row r="27" spans="1:14" x14ac:dyDescent="0.3">
      <c r="A27" t="s">
        <v>110</v>
      </c>
      <c r="B27" s="3">
        <v>45424</v>
      </c>
      <c r="C27" t="s">
        <v>68</v>
      </c>
      <c r="D27" t="s">
        <v>69</v>
      </c>
      <c r="E27" t="s">
        <v>105</v>
      </c>
      <c r="F27" t="s">
        <v>106</v>
      </c>
      <c r="G27" t="s">
        <v>46</v>
      </c>
      <c r="H27">
        <v>5</v>
      </c>
      <c r="I27">
        <v>299.99</v>
      </c>
      <c r="J27" t="s">
        <v>34</v>
      </c>
      <c r="K27" t="s">
        <v>63</v>
      </c>
      <c r="L27" t="s">
        <v>22</v>
      </c>
      <c r="M27" s="3">
        <v>45168</v>
      </c>
      <c r="N27">
        <v>1499.95</v>
      </c>
    </row>
    <row r="28" spans="1:14" x14ac:dyDescent="0.3">
      <c r="A28" t="s">
        <v>111</v>
      </c>
      <c r="B28" s="3">
        <v>45424</v>
      </c>
      <c r="C28" t="s">
        <v>112</v>
      </c>
      <c r="D28" t="s">
        <v>113</v>
      </c>
      <c r="E28" t="s">
        <v>114</v>
      </c>
      <c r="F28" t="s">
        <v>115</v>
      </c>
      <c r="G28" t="s">
        <v>33</v>
      </c>
      <c r="H28">
        <v>3</v>
      </c>
      <c r="I28">
        <v>79.989999999999995</v>
      </c>
      <c r="J28" t="s">
        <v>34</v>
      </c>
      <c r="K28" t="s">
        <v>63</v>
      </c>
      <c r="L28" t="s">
        <v>27</v>
      </c>
      <c r="M28" s="3">
        <v>45012</v>
      </c>
      <c r="N28">
        <v>239.97</v>
      </c>
    </row>
    <row r="29" spans="1:14" x14ac:dyDescent="0.3">
      <c r="A29" t="s">
        <v>116</v>
      </c>
      <c r="B29" s="3">
        <v>45424</v>
      </c>
      <c r="C29" t="s">
        <v>99</v>
      </c>
      <c r="D29" t="s">
        <v>100</v>
      </c>
      <c r="E29" t="s">
        <v>117</v>
      </c>
      <c r="F29" t="s">
        <v>118</v>
      </c>
      <c r="G29" t="s">
        <v>19</v>
      </c>
      <c r="H29">
        <v>5</v>
      </c>
      <c r="I29">
        <v>89.99</v>
      </c>
      <c r="J29" t="s">
        <v>20</v>
      </c>
      <c r="K29" t="s">
        <v>40</v>
      </c>
      <c r="L29" t="s">
        <v>27</v>
      </c>
      <c r="M29" s="3">
        <v>44919</v>
      </c>
      <c r="N29">
        <v>449.95</v>
      </c>
    </row>
    <row r="30" spans="1:14" x14ac:dyDescent="0.3">
      <c r="A30" t="s">
        <v>119</v>
      </c>
      <c r="B30" s="3">
        <v>45425</v>
      </c>
      <c r="C30" t="s">
        <v>120</v>
      </c>
      <c r="D30" t="s">
        <v>121</v>
      </c>
      <c r="E30" t="s">
        <v>31</v>
      </c>
      <c r="F30" t="s">
        <v>32</v>
      </c>
      <c r="G30" t="s">
        <v>33</v>
      </c>
      <c r="H30">
        <v>2</v>
      </c>
      <c r="I30">
        <v>59.99</v>
      </c>
      <c r="J30" t="s">
        <v>57</v>
      </c>
      <c r="K30" t="s">
        <v>21</v>
      </c>
      <c r="L30" t="s">
        <v>36</v>
      </c>
      <c r="M30" s="3">
        <v>45214</v>
      </c>
      <c r="N30">
        <v>119.98</v>
      </c>
    </row>
    <row r="31" spans="1:14" x14ac:dyDescent="0.3">
      <c r="A31" t="s">
        <v>122</v>
      </c>
      <c r="B31" s="3">
        <v>45427</v>
      </c>
      <c r="C31" t="s">
        <v>123</v>
      </c>
      <c r="D31" t="s">
        <v>124</v>
      </c>
      <c r="E31" t="s">
        <v>31</v>
      </c>
      <c r="F31" t="s">
        <v>32</v>
      </c>
      <c r="G31" t="s">
        <v>33</v>
      </c>
      <c r="H31">
        <v>4</v>
      </c>
      <c r="I31">
        <v>59.99</v>
      </c>
      <c r="J31" t="s">
        <v>57</v>
      </c>
      <c r="K31" t="s">
        <v>63</v>
      </c>
      <c r="L31" t="s">
        <v>36</v>
      </c>
      <c r="M31" s="3">
        <v>44867</v>
      </c>
      <c r="N31">
        <v>239.96</v>
      </c>
    </row>
    <row r="32" spans="1:14" x14ac:dyDescent="0.3">
      <c r="A32" t="s">
        <v>125</v>
      </c>
      <c r="B32" s="3">
        <v>45427</v>
      </c>
      <c r="C32" t="s">
        <v>55</v>
      </c>
      <c r="D32" t="s">
        <v>56</v>
      </c>
      <c r="E32" t="s">
        <v>126</v>
      </c>
      <c r="F32" t="s">
        <v>127</v>
      </c>
      <c r="G32" t="s">
        <v>46</v>
      </c>
      <c r="H32">
        <v>5</v>
      </c>
      <c r="I32">
        <v>199.99</v>
      </c>
      <c r="J32" t="s">
        <v>20</v>
      </c>
      <c r="K32" t="s">
        <v>35</v>
      </c>
      <c r="L32" t="s">
        <v>36</v>
      </c>
      <c r="M32" s="3">
        <v>44412</v>
      </c>
      <c r="N32">
        <v>999.95</v>
      </c>
    </row>
    <row r="33" spans="1:14" x14ac:dyDescent="0.3">
      <c r="A33" t="s">
        <v>128</v>
      </c>
      <c r="B33" s="3">
        <v>45428</v>
      </c>
      <c r="C33" t="s">
        <v>129</v>
      </c>
      <c r="D33" t="s">
        <v>130</v>
      </c>
      <c r="E33" t="s">
        <v>44</v>
      </c>
      <c r="F33" t="s">
        <v>45</v>
      </c>
      <c r="G33" t="s">
        <v>46</v>
      </c>
      <c r="H33">
        <v>2</v>
      </c>
      <c r="I33">
        <v>149.99</v>
      </c>
      <c r="J33" t="s">
        <v>26</v>
      </c>
      <c r="K33" t="s">
        <v>50</v>
      </c>
      <c r="L33" t="s">
        <v>22</v>
      </c>
      <c r="M33" s="3">
        <v>44823</v>
      </c>
      <c r="N33">
        <v>299.98</v>
      </c>
    </row>
    <row r="34" spans="1:14" x14ac:dyDescent="0.3">
      <c r="A34" t="s">
        <v>131</v>
      </c>
      <c r="B34" s="3">
        <v>45430</v>
      </c>
      <c r="C34" t="s">
        <v>132</v>
      </c>
      <c r="D34" t="s">
        <v>133</v>
      </c>
      <c r="E34" t="s">
        <v>44</v>
      </c>
      <c r="F34" t="s">
        <v>45</v>
      </c>
      <c r="G34" t="s">
        <v>46</v>
      </c>
      <c r="H34">
        <v>3</v>
      </c>
      <c r="I34">
        <v>149.99</v>
      </c>
      <c r="J34" t="s">
        <v>26</v>
      </c>
      <c r="K34" t="s">
        <v>50</v>
      </c>
      <c r="L34" t="s">
        <v>27</v>
      </c>
      <c r="M34" s="3">
        <v>45068</v>
      </c>
      <c r="N34">
        <v>449.97</v>
      </c>
    </row>
    <row r="35" spans="1:14" x14ac:dyDescent="0.3">
      <c r="A35" t="s">
        <v>134</v>
      </c>
      <c r="B35" s="3">
        <v>45432</v>
      </c>
      <c r="C35" t="s">
        <v>29</v>
      </c>
      <c r="D35" t="s">
        <v>30</v>
      </c>
      <c r="E35" t="s">
        <v>61</v>
      </c>
      <c r="F35" t="s">
        <v>62</v>
      </c>
      <c r="G35" t="s">
        <v>19</v>
      </c>
      <c r="H35">
        <v>1</v>
      </c>
      <c r="I35">
        <v>899.99</v>
      </c>
      <c r="J35" t="s">
        <v>26</v>
      </c>
      <c r="K35" t="s">
        <v>50</v>
      </c>
      <c r="L35" t="s">
        <v>27</v>
      </c>
      <c r="M35" s="3">
        <v>44578</v>
      </c>
      <c r="N35">
        <v>899.99</v>
      </c>
    </row>
    <row r="36" spans="1:14" x14ac:dyDescent="0.3">
      <c r="A36" t="s">
        <v>135</v>
      </c>
      <c r="B36" s="3">
        <v>45434</v>
      </c>
      <c r="C36" t="s">
        <v>99</v>
      </c>
      <c r="D36" t="s">
        <v>100</v>
      </c>
      <c r="E36" t="s">
        <v>105</v>
      </c>
      <c r="F36" t="s">
        <v>106</v>
      </c>
      <c r="G36" t="s">
        <v>46</v>
      </c>
      <c r="H36">
        <v>3</v>
      </c>
      <c r="I36">
        <v>299.99</v>
      </c>
      <c r="J36" t="s">
        <v>26</v>
      </c>
      <c r="K36" t="s">
        <v>63</v>
      </c>
      <c r="L36" t="s">
        <v>22</v>
      </c>
      <c r="M36" s="3">
        <v>44824</v>
      </c>
      <c r="N36">
        <v>899.97</v>
      </c>
    </row>
    <row r="37" spans="1:14" x14ac:dyDescent="0.3">
      <c r="A37" t="s">
        <v>136</v>
      </c>
      <c r="B37" s="3">
        <v>45435</v>
      </c>
      <c r="C37" t="s">
        <v>129</v>
      </c>
      <c r="D37" t="s">
        <v>130</v>
      </c>
      <c r="E37" t="s">
        <v>114</v>
      </c>
      <c r="F37" t="s">
        <v>115</v>
      </c>
      <c r="G37" t="s">
        <v>33</v>
      </c>
      <c r="H37">
        <v>3</v>
      </c>
      <c r="I37">
        <v>79.989999999999995</v>
      </c>
      <c r="J37" t="s">
        <v>20</v>
      </c>
      <c r="K37" t="s">
        <v>35</v>
      </c>
      <c r="L37" t="s">
        <v>22</v>
      </c>
      <c r="M37" s="3">
        <v>45046</v>
      </c>
      <c r="N37">
        <v>239.97</v>
      </c>
    </row>
    <row r="38" spans="1:14" x14ac:dyDescent="0.3">
      <c r="A38" t="s">
        <v>137</v>
      </c>
      <c r="B38" s="3">
        <v>45438</v>
      </c>
      <c r="C38" t="s">
        <v>138</v>
      </c>
      <c r="D38" t="s">
        <v>139</v>
      </c>
      <c r="E38" t="s">
        <v>126</v>
      </c>
      <c r="F38" t="s">
        <v>127</v>
      </c>
      <c r="G38" t="s">
        <v>46</v>
      </c>
      <c r="H38">
        <v>3</v>
      </c>
      <c r="I38">
        <v>199.99</v>
      </c>
      <c r="J38" t="s">
        <v>26</v>
      </c>
      <c r="K38" t="s">
        <v>40</v>
      </c>
      <c r="L38" t="s">
        <v>27</v>
      </c>
      <c r="M38" s="3">
        <v>45292</v>
      </c>
      <c r="N38">
        <v>599.97</v>
      </c>
    </row>
    <row r="39" spans="1:14" x14ac:dyDescent="0.3">
      <c r="A39" t="s">
        <v>140</v>
      </c>
      <c r="B39" s="3">
        <v>45440</v>
      </c>
      <c r="C39" t="s">
        <v>141</v>
      </c>
      <c r="D39" t="s">
        <v>142</v>
      </c>
      <c r="E39" t="s">
        <v>80</v>
      </c>
      <c r="F39" t="s">
        <v>81</v>
      </c>
      <c r="G39" t="s">
        <v>19</v>
      </c>
      <c r="H39">
        <v>5</v>
      </c>
      <c r="I39">
        <v>699.99</v>
      </c>
      <c r="J39" t="s">
        <v>34</v>
      </c>
      <c r="K39" t="s">
        <v>50</v>
      </c>
      <c r="L39" t="s">
        <v>36</v>
      </c>
      <c r="M39" s="3">
        <v>44407</v>
      </c>
      <c r="N39">
        <v>3499.95</v>
      </c>
    </row>
    <row r="40" spans="1:14" x14ac:dyDescent="0.3">
      <c r="A40" t="s">
        <v>143</v>
      </c>
      <c r="B40" s="3">
        <v>45441</v>
      </c>
      <c r="C40" t="s">
        <v>144</v>
      </c>
      <c r="D40" t="s">
        <v>145</v>
      </c>
      <c r="E40" t="s">
        <v>117</v>
      </c>
      <c r="F40" t="s">
        <v>118</v>
      </c>
      <c r="G40" t="s">
        <v>19</v>
      </c>
      <c r="H40">
        <v>3</v>
      </c>
      <c r="I40">
        <v>89.99</v>
      </c>
      <c r="J40" t="s">
        <v>34</v>
      </c>
      <c r="K40" t="s">
        <v>21</v>
      </c>
      <c r="L40" t="s">
        <v>27</v>
      </c>
      <c r="M40" s="3">
        <v>45120</v>
      </c>
      <c r="N40">
        <v>269.97000000000003</v>
      </c>
    </row>
    <row r="41" spans="1:14"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row>
    <row r="42" spans="1:14" x14ac:dyDescent="0.3">
      <c r="A42" t="s">
        <v>149</v>
      </c>
      <c r="B42" s="3">
        <v>45444</v>
      </c>
      <c r="C42" t="s">
        <v>150</v>
      </c>
      <c r="D42" t="s">
        <v>151</v>
      </c>
      <c r="E42" t="s">
        <v>31</v>
      </c>
      <c r="F42" t="s">
        <v>32</v>
      </c>
      <c r="G42" t="s">
        <v>33</v>
      </c>
      <c r="H42">
        <v>2</v>
      </c>
      <c r="I42">
        <v>59.99</v>
      </c>
      <c r="J42" t="s">
        <v>20</v>
      </c>
      <c r="K42" t="s">
        <v>50</v>
      </c>
      <c r="L42" t="s">
        <v>22</v>
      </c>
      <c r="M42" s="3">
        <v>45390</v>
      </c>
      <c r="N42">
        <v>119.98</v>
      </c>
    </row>
    <row r="43" spans="1:14" x14ac:dyDescent="0.3">
      <c r="A43" t="s">
        <v>152</v>
      </c>
      <c r="B43" s="3">
        <v>45444</v>
      </c>
      <c r="C43" t="s">
        <v>55</v>
      </c>
      <c r="D43" t="s">
        <v>56</v>
      </c>
      <c r="E43" t="s">
        <v>117</v>
      </c>
      <c r="F43" t="s">
        <v>118</v>
      </c>
      <c r="G43" t="s">
        <v>19</v>
      </c>
      <c r="H43">
        <v>1</v>
      </c>
      <c r="I43">
        <v>89.99</v>
      </c>
      <c r="J43" t="s">
        <v>20</v>
      </c>
      <c r="K43" t="s">
        <v>40</v>
      </c>
      <c r="L43" t="s">
        <v>22</v>
      </c>
      <c r="M43" s="3">
        <v>45141</v>
      </c>
      <c r="N43">
        <v>89.99</v>
      </c>
    </row>
    <row r="44" spans="1:14" x14ac:dyDescent="0.3">
      <c r="A44" t="s">
        <v>153</v>
      </c>
      <c r="B44" s="3">
        <v>45446</v>
      </c>
      <c r="C44" t="s">
        <v>154</v>
      </c>
      <c r="D44" t="s">
        <v>155</v>
      </c>
      <c r="E44" t="s">
        <v>117</v>
      </c>
      <c r="F44" t="s">
        <v>118</v>
      </c>
      <c r="G44" t="s">
        <v>19</v>
      </c>
      <c r="H44">
        <v>5</v>
      </c>
      <c r="I44">
        <v>89.99</v>
      </c>
      <c r="J44" t="s">
        <v>26</v>
      </c>
      <c r="K44" t="s">
        <v>63</v>
      </c>
      <c r="L44" t="s">
        <v>36</v>
      </c>
      <c r="M44" s="3">
        <v>44587</v>
      </c>
      <c r="N44">
        <v>449.95</v>
      </c>
    </row>
    <row r="45" spans="1:14" x14ac:dyDescent="0.3">
      <c r="A45" t="s">
        <v>156</v>
      </c>
      <c r="B45" s="3">
        <v>45449</v>
      </c>
      <c r="C45" t="s">
        <v>24</v>
      </c>
      <c r="D45" t="s">
        <v>25</v>
      </c>
      <c r="E45" t="s">
        <v>17</v>
      </c>
      <c r="F45" t="s">
        <v>18</v>
      </c>
      <c r="G45" t="s">
        <v>19</v>
      </c>
      <c r="H45">
        <v>5</v>
      </c>
      <c r="I45">
        <v>249.99</v>
      </c>
      <c r="J45" t="s">
        <v>26</v>
      </c>
      <c r="K45" t="s">
        <v>63</v>
      </c>
      <c r="L45" t="s">
        <v>36</v>
      </c>
      <c r="M45" s="3">
        <v>44707</v>
      </c>
      <c r="N45">
        <v>1249.95</v>
      </c>
    </row>
    <row r="46" spans="1:14" x14ac:dyDescent="0.3">
      <c r="A46" t="s">
        <v>157</v>
      </c>
      <c r="B46" s="3">
        <v>45449</v>
      </c>
      <c r="C46" t="s">
        <v>158</v>
      </c>
      <c r="D46" t="s">
        <v>159</v>
      </c>
      <c r="E46" t="s">
        <v>117</v>
      </c>
      <c r="F46" t="s">
        <v>118</v>
      </c>
      <c r="G46" t="s">
        <v>19</v>
      </c>
      <c r="H46">
        <v>1</v>
      </c>
      <c r="I46">
        <v>89.99</v>
      </c>
      <c r="J46" t="s">
        <v>26</v>
      </c>
      <c r="K46" t="s">
        <v>35</v>
      </c>
      <c r="L46" t="s">
        <v>36</v>
      </c>
      <c r="M46" s="3">
        <v>44582</v>
      </c>
      <c r="N46">
        <v>89.99</v>
      </c>
    </row>
    <row r="47" spans="1:14" x14ac:dyDescent="0.3">
      <c r="A47" t="s">
        <v>160</v>
      </c>
      <c r="B47" s="3">
        <v>45450</v>
      </c>
      <c r="C47" t="s">
        <v>42</v>
      </c>
      <c r="D47" t="s">
        <v>43</v>
      </c>
      <c r="E47" t="s">
        <v>44</v>
      </c>
      <c r="F47" t="s">
        <v>45</v>
      </c>
      <c r="G47" t="s">
        <v>46</v>
      </c>
      <c r="H47">
        <v>2</v>
      </c>
      <c r="I47">
        <v>149.99</v>
      </c>
      <c r="J47" t="s">
        <v>20</v>
      </c>
      <c r="K47" t="s">
        <v>63</v>
      </c>
      <c r="L47" t="s">
        <v>27</v>
      </c>
      <c r="M47" s="3">
        <v>44645</v>
      </c>
      <c r="N47">
        <v>299.98</v>
      </c>
    </row>
    <row r="48" spans="1:14" x14ac:dyDescent="0.3">
      <c r="A48" t="s">
        <v>161</v>
      </c>
      <c r="B48" s="3">
        <v>45452</v>
      </c>
      <c r="C48" t="s">
        <v>162</v>
      </c>
      <c r="D48" t="s">
        <v>163</v>
      </c>
      <c r="E48" t="s">
        <v>31</v>
      </c>
      <c r="F48" t="s">
        <v>32</v>
      </c>
      <c r="G48" t="s">
        <v>33</v>
      </c>
      <c r="H48">
        <v>4</v>
      </c>
      <c r="I48">
        <v>59.99</v>
      </c>
      <c r="J48" t="s">
        <v>20</v>
      </c>
      <c r="K48" t="s">
        <v>63</v>
      </c>
      <c r="L48" t="s">
        <v>36</v>
      </c>
      <c r="M48" s="3">
        <v>44435</v>
      </c>
      <c r="N48">
        <v>239.96</v>
      </c>
    </row>
    <row r="49" spans="1:14" x14ac:dyDescent="0.3">
      <c r="A49" t="s">
        <v>164</v>
      </c>
      <c r="B49" s="3">
        <v>45456</v>
      </c>
      <c r="C49" t="s">
        <v>129</v>
      </c>
      <c r="D49" t="s">
        <v>130</v>
      </c>
      <c r="E49" t="s">
        <v>117</v>
      </c>
      <c r="F49" t="s">
        <v>118</v>
      </c>
      <c r="G49" t="s">
        <v>19</v>
      </c>
      <c r="H49">
        <v>5</v>
      </c>
      <c r="I49">
        <v>89.99</v>
      </c>
      <c r="J49" t="s">
        <v>20</v>
      </c>
      <c r="K49" t="s">
        <v>21</v>
      </c>
      <c r="L49" t="s">
        <v>27</v>
      </c>
      <c r="M49" s="3">
        <v>44579</v>
      </c>
      <c r="N49">
        <v>449.95</v>
      </c>
    </row>
    <row r="50" spans="1:14" x14ac:dyDescent="0.3">
      <c r="A50" t="s">
        <v>165</v>
      </c>
      <c r="B50" s="3">
        <v>45459</v>
      </c>
      <c r="C50" t="s">
        <v>99</v>
      </c>
      <c r="D50" t="s">
        <v>100</v>
      </c>
      <c r="E50" t="s">
        <v>117</v>
      </c>
      <c r="F50" t="s">
        <v>118</v>
      </c>
      <c r="G50" t="s">
        <v>19</v>
      </c>
      <c r="H50">
        <v>2</v>
      </c>
      <c r="I50">
        <v>89.99</v>
      </c>
      <c r="J50" t="s">
        <v>26</v>
      </c>
      <c r="K50" t="s">
        <v>35</v>
      </c>
      <c r="L50" t="s">
        <v>27</v>
      </c>
      <c r="M50" s="3">
        <v>44471</v>
      </c>
      <c r="N50">
        <v>179.98</v>
      </c>
    </row>
    <row r="51" spans="1:14" x14ac:dyDescent="0.3">
      <c r="A51" t="s">
        <v>166</v>
      </c>
      <c r="B51" s="3">
        <v>45459</v>
      </c>
      <c r="C51" t="s">
        <v>15</v>
      </c>
      <c r="D51" t="s">
        <v>16</v>
      </c>
      <c r="E51" t="s">
        <v>61</v>
      </c>
      <c r="F51" t="s">
        <v>62</v>
      </c>
      <c r="G51" t="s">
        <v>19</v>
      </c>
      <c r="H51">
        <v>5</v>
      </c>
      <c r="I51">
        <v>899.99</v>
      </c>
      <c r="J51" t="s">
        <v>26</v>
      </c>
      <c r="K51" t="s">
        <v>35</v>
      </c>
      <c r="L51" t="s">
        <v>36</v>
      </c>
      <c r="M51" s="3">
        <v>44974</v>
      </c>
      <c r="N51">
        <v>4499.95</v>
      </c>
    </row>
    <row r="52" spans="1:14" x14ac:dyDescent="0.3">
      <c r="A52" t="s">
        <v>167</v>
      </c>
      <c r="B52" s="3">
        <v>45459</v>
      </c>
      <c r="C52" t="s">
        <v>123</v>
      </c>
      <c r="D52" t="s">
        <v>124</v>
      </c>
      <c r="E52" t="s">
        <v>61</v>
      </c>
      <c r="F52" t="s">
        <v>62</v>
      </c>
      <c r="G52" t="s">
        <v>19</v>
      </c>
      <c r="H52">
        <v>5</v>
      </c>
      <c r="I52">
        <v>899.99</v>
      </c>
      <c r="J52" t="s">
        <v>34</v>
      </c>
      <c r="K52" t="s">
        <v>63</v>
      </c>
      <c r="L52" t="s">
        <v>27</v>
      </c>
      <c r="M52" s="3">
        <v>45278</v>
      </c>
      <c r="N52">
        <v>4499.95</v>
      </c>
    </row>
    <row r="53" spans="1:14" x14ac:dyDescent="0.3">
      <c r="A53" t="s">
        <v>168</v>
      </c>
      <c r="B53" s="3">
        <v>45460</v>
      </c>
      <c r="C53" t="s">
        <v>158</v>
      </c>
      <c r="D53" t="s">
        <v>159</v>
      </c>
      <c r="E53" t="s">
        <v>31</v>
      </c>
      <c r="F53" t="s">
        <v>32</v>
      </c>
      <c r="G53" t="s">
        <v>33</v>
      </c>
      <c r="H53">
        <v>1</v>
      </c>
      <c r="I53">
        <v>59.99</v>
      </c>
      <c r="J53" t="s">
        <v>57</v>
      </c>
      <c r="K53" t="s">
        <v>50</v>
      </c>
      <c r="L53" t="s">
        <v>27</v>
      </c>
      <c r="M53" s="3">
        <v>45190</v>
      </c>
      <c r="N53">
        <v>59.99</v>
      </c>
    </row>
    <row r="54" spans="1:14" x14ac:dyDescent="0.3">
      <c r="A54" t="s">
        <v>169</v>
      </c>
      <c r="B54" s="3">
        <v>45460</v>
      </c>
      <c r="C54" t="s">
        <v>141</v>
      </c>
      <c r="D54" t="s">
        <v>142</v>
      </c>
      <c r="E54" t="s">
        <v>105</v>
      </c>
      <c r="F54" t="s">
        <v>106</v>
      </c>
      <c r="G54" t="s">
        <v>46</v>
      </c>
      <c r="H54">
        <v>2</v>
      </c>
      <c r="I54">
        <v>299.99</v>
      </c>
      <c r="J54" t="s">
        <v>57</v>
      </c>
      <c r="K54" t="s">
        <v>63</v>
      </c>
      <c r="L54" t="s">
        <v>36</v>
      </c>
      <c r="M54" s="3">
        <v>45253</v>
      </c>
      <c r="N54">
        <v>599.98</v>
      </c>
    </row>
    <row r="55" spans="1:14" x14ac:dyDescent="0.3">
      <c r="A55" t="s">
        <v>170</v>
      </c>
      <c r="B55" s="3">
        <v>45468</v>
      </c>
      <c r="C55" t="s">
        <v>171</v>
      </c>
      <c r="D55" t="s">
        <v>172</v>
      </c>
      <c r="E55" t="s">
        <v>117</v>
      </c>
      <c r="F55" t="s">
        <v>118</v>
      </c>
      <c r="G55" t="s">
        <v>19</v>
      </c>
      <c r="H55">
        <v>4</v>
      </c>
      <c r="I55">
        <v>89.99</v>
      </c>
      <c r="J55" t="s">
        <v>57</v>
      </c>
      <c r="K55" t="s">
        <v>35</v>
      </c>
      <c r="L55" t="s">
        <v>22</v>
      </c>
      <c r="M55" s="3">
        <v>45281</v>
      </c>
      <c r="N55">
        <v>359.96</v>
      </c>
    </row>
    <row r="56" spans="1:14"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row>
    <row r="57" spans="1:14" x14ac:dyDescent="0.3">
      <c r="A57" t="s">
        <v>174</v>
      </c>
      <c r="B57" s="3">
        <v>45469</v>
      </c>
      <c r="C57" t="s">
        <v>59</v>
      </c>
      <c r="D57" t="s">
        <v>60</v>
      </c>
      <c r="E57" t="s">
        <v>117</v>
      </c>
      <c r="F57" t="s">
        <v>118</v>
      </c>
      <c r="G57" t="s">
        <v>19</v>
      </c>
      <c r="H57">
        <v>2</v>
      </c>
      <c r="I57">
        <v>89.99</v>
      </c>
      <c r="J57" t="s">
        <v>20</v>
      </c>
      <c r="K57" t="s">
        <v>50</v>
      </c>
      <c r="L57" t="s">
        <v>22</v>
      </c>
      <c r="M57" s="3">
        <v>44438</v>
      </c>
      <c r="N57">
        <v>179.98</v>
      </c>
    </row>
    <row r="58" spans="1:14" x14ac:dyDescent="0.3">
      <c r="A58" t="s">
        <v>175</v>
      </c>
      <c r="B58" s="3">
        <v>45471</v>
      </c>
      <c r="C58" t="s">
        <v>38</v>
      </c>
      <c r="D58" t="s">
        <v>39</v>
      </c>
      <c r="E58" t="s">
        <v>80</v>
      </c>
      <c r="F58" t="s">
        <v>81</v>
      </c>
      <c r="G58" t="s">
        <v>19</v>
      </c>
      <c r="H58">
        <v>3</v>
      </c>
      <c r="I58">
        <v>699.99</v>
      </c>
      <c r="J58" t="s">
        <v>26</v>
      </c>
      <c r="K58" t="s">
        <v>63</v>
      </c>
      <c r="L58" t="s">
        <v>27</v>
      </c>
      <c r="M58" s="3">
        <v>45102</v>
      </c>
      <c r="N58">
        <v>2099.9699999999998</v>
      </c>
    </row>
    <row r="59" spans="1:14" x14ac:dyDescent="0.3">
      <c r="A59" t="s">
        <v>176</v>
      </c>
      <c r="B59" s="3">
        <v>45471</v>
      </c>
      <c r="C59" t="s">
        <v>99</v>
      </c>
      <c r="D59" t="s">
        <v>100</v>
      </c>
      <c r="E59" t="s">
        <v>61</v>
      </c>
      <c r="F59" t="s">
        <v>62</v>
      </c>
      <c r="G59" t="s">
        <v>19</v>
      </c>
      <c r="H59">
        <v>4</v>
      </c>
      <c r="I59">
        <v>899.99</v>
      </c>
      <c r="J59" t="s">
        <v>26</v>
      </c>
      <c r="K59" t="s">
        <v>63</v>
      </c>
      <c r="L59" t="s">
        <v>27</v>
      </c>
      <c r="M59" s="3">
        <v>44993</v>
      </c>
      <c r="N59">
        <v>3599.96</v>
      </c>
    </row>
    <row r="60" spans="1:14" x14ac:dyDescent="0.3">
      <c r="A60" t="s">
        <v>177</v>
      </c>
      <c r="B60" s="3">
        <v>45472</v>
      </c>
      <c r="C60" t="s">
        <v>120</v>
      </c>
      <c r="D60" t="s">
        <v>121</v>
      </c>
      <c r="E60" t="s">
        <v>44</v>
      </c>
      <c r="F60" t="s">
        <v>45</v>
      </c>
      <c r="G60" t="s">
        <v>46</v>
      </c>
      <c r="H60">
        <v>1</v>
      </c>
      <c r="I60">
        <v>149.99</v>
      </c>
      <c r="J60" t="s">
        <v>34</v>
      </c>
      <c r="K60" t="s">
        <v>63</v>
      </c>
      <c r="L60" t="s">
        <v>22</v>
      </c>
      <c r="M60" s="3">
        <v>44851</v>
      </c>
      <c r="N60">
        <v>149.99</v>
      </c>
    </row>
    <row r="61" spans="1:14" x14ac:dyDescent="0.3">
      <c r="A61" t="s">
        <v>178</v>
      </c>
      <c r="B61" s="3">
        <v>45474</v>
      </c>
      <c r="C61" t="s">
        <v>132</v>
      </c>
      <c r="D61" t="s">
        <v>133</v>
      </c>
      <c r="E61" t="s">
        <v>117</v>
      </c>
      <c r="F61" t="s">
        <v>118</v>
      </c>
      <c r="G61" t="s">
        <v>19</v>
      </c>
      <c r="H61">
        <v>2</v>
      </c>
      <c r="I61">
        <v>89.99</v>
      </c>
      <c r="J61" t="s">
        <v>34</v>
      </c>
      <c r="K61" t="s">
        <v>21</v>
      </c>
      <c r="L61" t="s">
        <v>27</v>
      </c>
      <c r="M61" s="3">
        <v>45275</v>
      </c>
      <c r="N61">
        <v>179.98</v>
      </c>
    </row>
    <row r="62" spans="1:14" x14ac:dyDescent="0.3">
      <c r="A62" t="s">
        <v>179</v>
      </c>
      <c r="B62" s="3">
        <v>45475</v>
      </c>
      <c r="C62" t="s">
        <v>55</v>
      </c>
      <c r="D62" t="s">
        <v>56</v>
      </c>
      <c r="E62" t="s">
        <v>117</v>
      </c>
      <c r="F62" t="s">
        <v>118</v>
      </c>
      <c r="G62" t="s">
        <v>19</v>
      </c>
      <c r="H62">
        <v>1</v>
      </c>
      <c r="I62">
        <v>89.99</v>
      </c>
      <c r="J62" t="s">
        <v>34</v>
      </c>
      <c r="K62" t="s">
        <v>50</v>
      </c>
      <c r="L62" t="s">
        <v>36</v>
      </c>
      <c r="M62" s="3">
        <v>44802</v>
      </c>
      <c r="N62">
        <v>89.99</v>
      </c>
    </row>
    <row r="63" spans="1:14" x14ac:dyDescent="0.3">
      <c r="A63" t="s">
        <v>180</v>
      </c>
      <c r="B63" s="3">
        <v>45476</v>
      </c>
      <c r="C63" t="s">
        <v>68</v>
      </c>
      <c r="D63" t="s">
        <v>69</v>
      </c>
      <c r="E63" t="s">
        <v>117</v>
      </c>
      <c r="F63" t="s">
        <v>118</v>
      </c>
      <c r="G63" t="s">
        <v>19</v>
      </c>
      <c r="H63">
        <v>1</v>
      </c>
      <c r="I63">
        <v>89.99</v>
      </c>
      <c r="J63" t="s">
        <v>20</v>
      </c>
      <c r="K63" t="s">
        <v>35</v>
      </c>
      <c r="L63" t="s">
        <v>36</v>
      </c>
      <c r="M63" s="3">
        <v>44611</v>
      </c>
      <c r="N63">
        <v>89.99</v>
      </c>
    </row>
    <row r="64" spans="1:14" x14ac:dyDescent="0.3">
      <c r="A64" t="s">
        <v>181</v>
      </c>
      <c r="B64" s="3">
        <v>45476</v>
      </c>
      <c r="C64" t="s">
        <v>182</v>
      </c>
      <c r="D64" t="s">
        <v>183</v>
      </c>
      <c r="E64" t="s">
        <v>114</v>
      </c>
      <c r="F64" t="s">
        <v>115</v>
      </c>
      <c r="G64" t="s">
        <v>33</v>
      </c>
      <c r="H64">
        <v>5</v>
      </c>
      <c r="I64">
        <v>79.989999999999995</v>
      </c>
      <c r="J64" t="s">
        <v>57</v>
      </c>
      <c r="K64" t="s">
        <v>21</v>
      </c>
      <c r="L64" t="s">
        <v>22</v>
      </c>
      <c r="M64" s="3">
        <v>44981</v>
      </c>
      <c r="N64">
        <v>399.95</v>
      </c>
    </row>
    <row r="65" spans="1:14" x14ac:dyDescent="0.3">
      <c r="A65" t="s">
        <v>184</v>
      </c>
      <c r="B65" s="3">
        <v>45481</v>
      </c>
      <c r="C65" t="s">
        <v>185</v>
      </c>
      <c r="D65" t="s">
        <v>186</v>
      </c>
      <c r="E65" t="s">
        <v>44</v>
      </c>
      <c r="F65" t="s">
        <v>45</v>
      </c>
      <c r="G65" t="s">
        <v>46</v>
      </c>
      <c r="H65">
        <v>1</v>
      </c>
      <c r="I65">
        <v>149.99</v>
      </c>
      <c r="J65" t="s">
        <v>34</v>
      </c>
      <c r="K65" t="s">
        <v>40</v>
      </c>
      <c r="L65" t="s">
        <v>22</v>
      </c>
      <c r="M65" s="3">
        <v>44421</v>
      </c>
      <c r="N65">
        <v>149.99</v>
      </c>
    </row>
    <row r="66" spans="1:14" x14ac:dyDescent="0.3">
      <c r="A66" t="s">
        <v>187</v>
      </c>
      <c r="B66" s="3">
        <v>45481</v>
      </c>
      <c r="C66" t="s">
        <v>42</v>
      </c>
      <c r="D66" t="s">
        <v>43</v>
      </c>
      <c r="E66" t="s">
        <v>80</v>
      </c>
      <c r="F66" t="s">
        <v>81</v>
      </c>
      <c r="G66" t="s">
        <v>19</v>
      </c>
      <c r="H66">
        <v>2</v>
      </c>
      <c r="I66">
        <v>699.99</v>
      </c>
      <c r="J66" t="s">
        <v>34</v>
      </c>
      <c r="K66" t="s">
        <v>63</v>
      </c>
      <c r="L66" t="s">
        <v>27</v>
      </c>
      <c r="M66" s="3">
        <v>45389</v>
      </c>
      <c r="N66">
        <v>1399.98</v>
      </c>
    </row>
    <row r="67" spans="1:14" x14ac:dyDescent="0.3">
      <c r="A67" t="s">
        <v>188</v>
      </c>
      <c r="B67" s="3">
        <v>45481</v>
      </c>
      <c r="C67" t="s">
        <v>96</v>
      </c>
      <c r="D67" t="s">
        <v>97</v>
      </c>
      <c r="E67" t="s">
        <v>117</v>
      </c>
      <c r="F67" t="s">
        <v>118</v>
      </c>
      <c r="G67" t="s">
        <v>19</v>
      </c>
      <c r="H67">
        <v>5</v>
      </c>
      <c r="I67">
        <v>89.99</v>
      </c>
      <c r="J67" t="s">
        <v>57</v>
      </c>
      <c r="K67" t="s">
        <v>40</v>
      </c>
      <c r="L67" t="s">
        <v>27</v>
      </c>
      <c r="M67" s="3">
        <v>45161</v>
      </c>
      <c r="N67">
        <v>449.95</v>
      </c>
    </row>
    <row r="68" spans="1:14" x14ac:dyDescent="0.3">
      <c r="A68" t="s">
        <v>189</v>
      </c>
      <c r="B68" s="3">
        <v>45482</v>
      </c>
      <c r="C68" t="s">
        <v>171</v>
      </c>
      <c r="D68" t="s">
        <v>172</v>
      </c>
      <c r="E68" t="s">
        <v>31</v>
      </c>
      <c r="F68" t="s">
        <v>32</v>
      </c>
      <c r="G68" t="s">
        <v>33</v>
      </c>
      <c r="H68">
        <v>4</v>
      </c>
      <c r="I68">
        <v>59.99</v>
      </c>
      <c r="J68" t="s">
        <v>20</v>
      </c>
      <c r="K68" t="s">
        <v>35</v>
      </c>
      <c r="L68" t="s">
        <v>36</v>
      </c>
      <c r="M68" s="3">
        <v>44509</v>
      </c>
      <c r="N68">
        <v>239.96</v>
      </c>
    </row>
    <row r="69" spans="1:14" x14ac:dyDescent="0.3">
      <c r="A69" t="s">
        <v>190</v>
      </c>
      <c r="B69" s="3">
        <v>45484</v>
      </c>
      <c r="C69" t="s">
        <v>24</v>
      </c>
      <c r="D69" t="s">
        <v>25</v>
      </c>
      <c r="E69" t="s">
        <v>52</v>
      </c>
      <c r="F69" t="s">
        <v>53</v>
      </c>
      <c r="G69" t="s">
        <v>19</v>
      </c>
      <c r="H69">
        <v>1</v>
      </c>
      <c r="I69">
        <v>149.99</v>
      </c>
      <c r="J69" t="s">
        <v>20</v>
      </c>
      <c r="K69" t="s">
        <v>21</v>
      </c>
      <c r="L69" t="s">
        <v>36</v>
      </c>
      <c r="M69" s="3">
        <v>44909</v>
      </c>
      <c r="N69">
        <v>149.99</v>
      </c>
    </row>
    <row r="70" spans="1:14" x14ac:dyDescent="0.3">
      <c r="A70" t="s">
        <v>191</v>
      </c>
      <c r="B70" s="3">
        <v>45484</v>
      </c>
      <c r="C70" t="s">
        <v>192</v>
      </c>
      <c r="D70" t="s">
        <v>193</v>
      </c>
      <c r="E70" t="s">
        <v>105</v>
      </c>
      <c r="F70" t="s">
        <v>106</v>
      </c>
      <c r="G70" t="s">
        <v>46</v>
      </c>
      <c r="H70">
        <v>1</v>
      </c>
      <c r="I70">
        <v>299.99</v>
      </c>
      <c r="J70" t="s">
        <v>26</v>
      </c>
      <c r="K70" t="s">
        <v>40</v>
      </c>
      <c r="L70" t="s">
        <v>27</v>
      </c>
      <c r="M70" s="3">
        <v>44891</v>
      </c>
      <c r="N70">
        <v>299.99</v>
      </c>
    </row>
    <row r="71" spans="1:14" x14ac:dyDescent="0.3">
      <c r="A71" t="s">
        <v>194</v>
      </c>
      <c r="B71" s="3">
        <v>45487</v>
      </c>
      <c r="C71" t="s">
        <v>192</v>
      </c>
      <c r="D71" t="s">
        <v>193</v>
      </c>
      <c r="E71" t="s">
        <v>126</v>
      </c>
      <c r="F71" t="s">
        <v>127</v>
      </c>
      <c r="G71" t="s">
        <v>46</v>
      </c>
      <c r="H71">
        <v>2</v>
      </c>
      <c r="I71">
        <v>199.99</v>
      </c>
      <c r="J71" t="s">
        <v>20</v>
      </c>
      <c r="K71" t="s">
        <v>40</v>
      </c>
      <c r="L71" t="s">
        <v>22</v>
      </c>
      <c r="M71" s="3">
        <v>44541</v>
      </c>
      <c r="N71">
        <v>399.98</v>
      </c>
    </row>
    <row r="72" spans="1:14" x14ac:dyDescent="0.3">
      <c r="A72" t="s">
        <v>195</v>
      </c>
      <c r="B72" s="3">
        <v>45490</v>
      </c>
      <c r="C72" t="s">
        <v>196</v>
      </c>
      <c r="D72" t="s">
        <v>197</v>
      </c>
      <c r="E72" t="s">
        <v>31</v>
      </c>
      <c r="F72" t="s">
        <v>32</v>
      </c>
      <c r="G72" t="s">
        <v>33</v>
      </c>
      <c r="H72">
        <v>3</v>
      </c>
      <c r="I72">
        <v>59.99</v>
      </c>
      <c r="J72" t="s">
        <v>26</v>
      </c>
      <c r="K72" t="s">
        <v>50</v>
      </c>
      <c r="L72" t="s">
        <v>22</v>
      </c>
      <c r="M72" s="3">
        <v>45130</v>
      </c>
      <c r="N72">
        <v>179.97</v>
      </c>
    </row>
    <row r="73" spans="1:14" x14ac:dyDescent="0.3">
      <c r="A73" t="s">
        <v>198</v>
      </c>
      <c r="B73" s="3">
        <v>45490</v>
      </c>
      <c r="C73" t="s">
        <v>72</v>
      </c>
      <c r="D73" t="s">
        <v>73</v>
      </c>
      <c r="E73" t="s">
        <v>44</v>
      </c>
      <c r="F73" t="s">
        <v>45</v>
      </c>
      <c r="G73" t="s">
        <v>46</v>
      </c>
      <c r="H73">
        <v>3</v>
      </c>
      <c r="I73">
        <v>149.99</v>
      </c>
      <c r="J73" t="s">
        <v>20</v>
      </c>
      <c r="K73" t="s">
        <v>21</v>
      </c>
      <c r="L73" t="s">
        <v>27</v>
      </c>
      <c r="M73" s="3">
        <v>45199</v>
      </c>
      <c r="N73">
        <v>449.97</v>
      </c>
    </row>
    <row r="74" spans="1:14" x14ac:dyDescent="0.3">
      <c r="A74" t="s">
        <v>199</v>
      </c>
      <c r="B74" s="3">
        <v>45491</v>
      </c>
      <c r="C74" t="s">
        <v>65</v>
      </c>
      <c r="D74" t="s">
        <v>66</v>
      </c>
      <c r="E74" t="s">
        <v>126</v>
      </c>
      <c r="F74" t="s">
        <v>127</v>
      </c>
      <c r="G74" t="s">
        <v>46</v>
      </c>
      <c r="H74">
        <v>3</v>
      </c>
      <c r="I74">
        <v>199.99</v>
      </c>
      <c r="J74" t="s">
        <v>20</v>
      </c>
      <c r="K74" t="s">
        <v>40</v>
      </c>
      <c r="L74" t="s">
        <v>27</v>
      </c>
      <c r="M74" s="3">
        <v>45254</v>
      </c>
      <c r="N74">
        <v>599.97</v>
      </c>
    </row>
    <row r="75" spans="1:14" x14ac:dyDescent="0.3">
      <c r="A75" t="s">
        <v>200</v>
      </c>
      <c r="B75" s="3">
        <v>45496</v>
      </c>
      <c r="C75" t="s">
        <v>150</v>
      </c>
      <c r="D75" t="s">
        <v>151</v>
      </c>
      <c r="E75" t="s">
        <v>61</v>
      </c>
      <c r="F75" t="s">
        <v>62</v>
      </c>
      <c r="G75" t="s">
        <v>19</v>
      </c>
      <c r="H75">
        <v>1</v>
      </c>
      <c r="I75">
        <v>899.99</v>
      </c>
      <c r="J75" t="s">
        <v>20</v>
      </c>
      <c r="K75" t="s">
        <v>21</v>
      </c>
      <c r="L75" t="s">
        <v>36</v>
      </c>
      <c r="M75" s="3">
        <v>45179</v>
      </c>
      <c r="N75">
        <v>899.99</v>
      </c>
    </row>
    <row r="76" spans="1:14" x14ac:dyDescent="0.3">
      <c r="A76" t="s">
        <v>201</v>
      </c>
      <c r="B76" s="3">
        <v>45497</v>
      </c>
      <c r="C76" t="s">
        <v>24</v>
      </c>
      <c r="D76" t="s">
        <v>25</v>
      </c>
      <c r="E76" t="s">
        <v>61</v>
      </c>
      <c r="F76" t="s">
        <v>62</v>
      </c>
      <c r="G76" t="s">
        <v>19</v>
      </c>
      <c r="H76">
        <v>5</v>
      </c>
      <c r="I76">
        <v>899.99</v>
      </c>
      <c r="J76" t="s">
        <v>57</v>
      </c>
      <c r="K76" t="s">
        <v>35</v>
      </c>
      <c r="L76" t="s">
        <v>36</v>
      </c>
      <c r="M76" s="3">
        <v>44899</v>
      </c>
      <c r="N76">
        <v>4499.95</v>
      </c>
    </row>
    <row r="77" spans="1:14" x14ac:dyDescent="0.3">
      <c r="A77" t="s">
        <v>202</v>
      </c>
      <c r="B77" s="3">
        <v>45498</v>
      </c>
      <c r="C77" t="s">
        <v>182</v>
      </c>
      <c r="D77" t="s">
        <v>183</v>
      </c>
      <c r="E77" t="s">
        <v>31</v>
      </c>
      <c r="F77" t="s">
        <v>32</v>
      </c>
      <c r="G77" t="s">
        <v>33</v>
      </c>
      <c r="H77">
        <v>2</v>
      </c>
      <c r="I77">
        <v>59.99</v>
      </c>
      <c r="J77" t="s">
        <v>20</v>
      </c>
      <c r="K77" t="s">
        <v>40</v>
      </c>
      <c r="L77" t="s">
        <v>36</v>
      </c>
      <c r="M77" s="3">
        <v>45152</v>
      </c>
      <c r="N77">
        <v>119.98</v>
      </c>
    </row>
    <row r="78" spans="1:14" x14ac:dyDescent="0.3">
      <c r="A78" t="s">
        <v>203</v>
      </c>
      <c r="B78" s="3">
        <v>45498</v>
      </c>
      <c r="C78" t="s">
        <v>196</v>
      </c>
      <c r="D78" t="s">
        <v>197</v>
      </c>
      <c r="E78" t="s">
        <v>17</v>
      </c>
      <c r="F78" t="s">
        <v>18</v>
      </c>
      <c r="G78" t="s">
        <v>19</v>
      </c>
      <c r="H78">
        <v>4</v>
      </c>
      <c r="I78">
        <v>249.99</v>
      </c>
      <c r="J78" t="s">
        <v>57</v>
      </c>
      <c r="K78" t="s">
        <v>21</v>
      </c>
      <c r="L78" t="s">
        <v>36</v>
      </c>
      <c r="M78" s="3">
        <v>45127</v>
      </c>
      <c r="N78">
        <v>999.96</v>
      </c>
    </row>
    <row r="79" spans="1:14" x14ac:dyDescent="0.3">
      <c r="A79" t="s">
        <v>204</v>
      </c>
      <c r="B79" s="3">
        <v>45500</v>
      </c>
      <c r="C79" t="s">
        <v>96</v>
      </c>
      <c r="D79" t="s">
        <v>97</v>
      </c>
      <c r="E79" t="s">
        <v>17</v>
      </c>
      <c r="F79" t="s">
        <v>18</v>
      </c>
      <c r="G79" t="s">
        <v>19</v>
      </c>
      <c r="H79">
        <v>2</v>
      </c>
      <c r="I79">
        <v>249.99</v>
      </c>
      <c r="J79" t="s">
        <v>20</v>
      </c>
      <c r="K79" t="s">
        <v>40</v>
      </c>
      <c r="L79" t="s">
        <v>27</v>
      </c>
      <c r="M79" s="3">
        <v>45164</v>
      </c>
      <c r="N79">
        <v>499.98</v>
      </c>
    </row>
    <row r="80" spans="1:14" x14ac:dyDescent="0.3">
      <c r="A80" t="s">
        <v>205</v>
      </c>
      <c r="B80" s="3">
        <v>45500</v>
      </c>
      <c r="C80" t="s">
        <v>147</v>
      </c>
      <c r="D80" t="s">
        <v>148</v>
      </c>
      <c r="E80" t="s">
        <v>105</v>
      </c>
      <c r="F80" t="s">
        <v>106</v>
      </c>
      <c r="G80" t="s">
        <v>46</v>
      </c>
      <c r="H80">
        <v>1</v>
      </c>
      <c r="I80">
        <v>299.99</v>
      </c>
      <c r="J80" t="s">
        <v>20</v>
      </c>
      <c r="K80" t="s">
        <v>35</v>
      </c>
      <c r="L80" t="s">
        <v>22</v>
      </c>
      <c r="M80" s="3">
        <v>44982</v>
      </c>
      <c r="N80">
        <v>299.99</v>
      </c>
    </row>
    <row r="81" spans="1:14" x14ac:dyDescent="0.3">
      <c r="A81" t="s">
        <v>206</v>
      </c>
      <c r="B81" s="3">
        <v>45501</v>
      </c>
      <c r="C81" t="s">
        <v>86</v>
      </c>
      <c r="D81" t="s">
        <v>87</v>
      </c>
      <c r="E81" t="s">
        <v>117</v>
      </c>
      <c r="F81" t="s">
        <v>118</v>
      </c>
      <c r="G81" t="s">
        <v>19</v>
      </c>
      <c r="H81">
        <v>2</v>
      </c>
      <c r="I81">
        <v>89.99</v>
      </c>
      <c r="J81" t="s">
        <v>34</v>
      </c>
      <c r="K81" t="s">
        <v>35</v>
      </c>
      <c r="L81" t="s">
        <v>22</v>
      </c>
      <c r="M81" s="3">
        <v>44976</v>
      </c>
      <c r="N81">
        <v>179.98</v>
      </c>
    </row>
    <row r="82" spans="1:14" x14ac:dyDescent="0.3">
      <c r="A82" t="s">
        <v>207</v>
      </c>
      <c r="B82" s="3">
        <v>45501</v>
      </c>
      <c r="C82" t="s">
        <v>147</v>
      </c>
      <c r="D82" t="s">
        <v>148</v>
      </c>
      <c r="E82" t="s">
        <v>105</v>
      </c>
      <c r="F82" t="s">
        <v>106</v>
      </c>
      <c r="G82" t="s">
        <v>46</v>
      </c>
      <c r="H82">
        <v>3</v>
      </c>
      <c r="I82">
        <v>299.99</v>
      </c>
      <c r="J82" t="s">
        <v>20</v>
      </c>
      <c r="K82" t="s">
        <v>21</v>
      </c>
      <c r="L82" t="s">
        <v>22</v>
      </c>
      <c r="M82" s="3">
        <v>44732</v>
      </c>
      <c r="N82">
        <v>899.97</v>
      </c>
    </row>
    <row r="83" spans="1:14" x14ac:dyDescent="0.3">
      <c r="A83" t="s">
        <v>208</v>
      </c>
      <c r="B83" s="3">
        <v>45503</v>
      </c>
      <c r="C83" t="s">
        <v>86</v>
      </c>
      <c r="D83" t="s">
        <v>87</v>
      </c>
      <c r="E83" t="s">
        <v>80</v>
      </c>
      <c r="F83" t="s">
        <v>81</v>
      </c>
      <c r="G83" t="s">
        <v>19</v>
      </c>
      <c r="H83">
        <v>2</v>
      </c>
      <c r="I83">
        <v>699.99</v>
      </c>
      <c r="J83" t="s">
        <v>26</v>
      </c>
      <c r="K83" t="s">
        <v>40</v>
      </c>
      <c r="L83" t="s">
        <v>27</v>
      </c>
      <c r="M83" s="3">
        <v>44999</v>
      </c>
      <c r="N83">
        <v>1399.98</v>
      </c>
    </row>
    <row r="84" spans="1:14" x14ac:dyDescent="0.3">
      <c r="A84" t="s">
        <v>209</v>
      </c>
      <c r="B84" s="3">
        <v>45504</v>
      </c>
      <c r="C84" t="s">
        <v>120</v>
      </c>
      <c r="D84" t="s">
        <v>121</v>
      </c>
      <c r="E84" t="s">
        <v>61</v>
      </c>
      <c r="F84" t="s">
        <v>62</v>
      </c>
      <c r="G84" t="s">
        <v>19</v>
      </c>
      <c r="H84">
        <v>4</v>
      </c>
      <c r="I84">
        <v>899.99</v>
      </c>
      <c r="J84" t="s">
        <v>57</v>
      </c>
      <c r="K84" t="s">
        <v>35</v>
      </c>
      <c r="L84" t="s">
        <v>36</v>
      </c>
      <c r="M84" s="3">
        <v>44523</v>
      </c>
      <c r="N84">
        <v>3599.96</v>
      </c>
    </row>
    <row r="85" spans="1:14" x14ac:dyDescent="0.3">
      <c r="A85" t="s">
        <v>210</v>
      </c>
      <c r="B85" s="3">
        <v>45509</v>
      </c>
      <c r="C85" t="s">
        <v>211</v>
      </c>
      <c r="D85" t="s">
        <v>212</v>
      </c>
      <c r="E85" t="s">
        <v>44</v>
      </c>
      <c r="F85" t="s">
        <v>45</v>
      </c>
      <c r="G85" t="s">
        <v>46</v>
      </c>
      <c r="H85">
        <v>2</v>
      </c>
      <c r="I85">
        <v>149.99</v>
      </c>
      <c r="J85" t="s">
        <v>26</v>
      </c>
      <c r="K85" t="s">
        <v>50</v>
      </c>
      <c r="L85" t="s">
        <v>22</v>
      </c>
      <c r="M85" s="3">
        <v>44542</v>
      </c>
      <c r="N85">
        <v>299.98</v>
      </c>
    </row>
    <row r="86" spans="1:14" x14ac:dyDescent="0.3">
      <c r="A86" t="s">
        <v>213</v>
      </c>
      <c r="B86" s="3">
        <v>45510</v>
      </c>
      <c r="C86" t="s">
        <v>102</v>
      </c>
      <c r="D86" t="s">
        <v>103</v>
      </c>
      <c r="E86" t="s">
        <v>44</v>
      </c>
      <c r="F86" t="s">
        <v>45</v>
      </c>
      <c r="G86" t="s">
        <v>46</v>
      </c>
      <c r="H86">
        <v>2</v>
      </c>
      <c r="I86">
        <v>149.99</v>
      </c>
      <c r="J86" t="s">
        <v>57</v>
      </c>
      <c r="K86" t="s">
        <v>63</v>
      </c>
      <c r="L86" t="s">
        <v>36</v>
      </c>
      <c r="M86" s="3">
        <v>44667</v>
      </c>
      <c r="N86">
        <v>299.98</v>
      </c>
    </row>
    <row r="87" spans="1:14" x14ac:dyDescent="0.3">
      <c r="A87" t="s">
        <v>214</v>
      </c>
      <c r="B87" s="3">
        <v>45513</v>
      </c>
      <c r="C87" t="s">
        <v>89</v>
      </c>
      <c r="D87" t="s">
        <v>90</v>
      </c>
      <c r="E87" t="s">
        <v>117</v>
      </c>
      <c r="F87" t="s">
        <v>118</v>
      </c>
      <c r="G87" t="s">
        <v>19</v>
      </c>
      <c r="H87">
        <v>1</v>
      </c>
      <c r="I87">
        <v>89.99</v>
      </c>
      <c r="J87" t="s">
        <v>26</v>
      </c>
      <c r="K87" t="s">
        <v>40</v>
      </c>
      <c r="L87" t="s">
        <v>36</v>
      </c>
      <c r="M87" s="3">
        <v>45393</v>
      </c>
      <c r="N87">
        <v>89.99</v>
      </c>
    </row>
    <row r="88" spans="1:14" x14ac:dyDescent="0.3">
      <c r="A88" t="s">
        <v>215</v>
      </c>
      <c r="B88" s="3">
        <v>45515</v>
      </c>
      <c r="C88" t="s">
        <v>86</v>
      </c>
      <c r="D88" t="s">
        <v>87</v>
      </c>
      <c r="E88" t="s">
        <v>105</v>
      </c>
      <c r="F88" t="s">
        <v>106</v>
      </c>
      <c r="G88" t="s">
        <v>46</v>
      </c>
      <c r="H88">
        <v>5</v>
      </c>
      <c r="I88">
        <v>299.99</v>
      </c>
      <c r="J88" t="s">
        <v>26</v>
      </c>
      <c r="K88" t="s">
        <v>40</v>
      </c>
      <c r="L88" t="s">
        <v>22</v>
      </c>
      <c r="M88" s="3">
        <v>44965</v>
      </c>
      <c r="N88">
        <v>1499.95</v>
      </c>
    </row>
    <row r="89" spans="1:14" x14ac:dyDescent="0.3">
      <c r="A89" t="s">
        <v>216</v>
      </c>
      <c r="B89" s="3">
        <v>45517</v>
      </c>
      <c r="C89" t="s">
        <v>182</v>
      </c>
      <c r="D89" t="s">
        <v>183</v>
      </c>
      <c r="E89" t="s">
        <v>52</v>
      </c>
      <c r="F89" t="s">
        <v>53</v>
      </c>
      <c r="G89" t="s">
        <v>19</v>
      </c>
      <c r="H89">
        <v>4</v>
      </c>
      <c r="I89">
        <v>149.99</v>
      </c>
      <c r="J89" t="s">
        <v>57</v>
      </c>
      <c r="K89" t="s">
        <v>35</v>
      </c>
      <c r="L89" t="s">
        <v>27</v>
      </c>
      <c r="M89" s="3">
        <v>44820</v>
      </c>
      <c r="N89">
        <v>599.96</v>
      </c>
    </row>
    <row r="90" spans="1:14" x14ac:dyDescent="0.3">
      <c r="A90" t="s">
        <v>217</v>
      </c>
      <c r="B90" s="3">
        <v>45517</v>
      </c>
      <c r="C90" t="s">
        <v>185</v>
      </c>
      <c r="D90" t="s">
        <v>186</v>
      </c>
      <c r="E90" t="s">
        <v>17</v>
      </c>
      <c r="F90" t="s">
        <v>18</v>
      </c>
      <c r="G90" t="s">
        <v>19</v>
      </c>
      <c r="H90">
        <v>5</v>
      </c>
      <c r="I90">
        <v>249.99</v>
      </c>
      <c r="J90" t="s">
        <v>34</v>
      </c>
      <c r="K90" t="s">
        <v>63</v>
      </c>
      <c r="L90" t="s">
        <v>27</v>
      </c>
      <c r="M90" s="3">
        <v>44782</v>
      </c>
      <c r="N90">
        <v>1249.95</v>
      </c>
    </row>
    <row r="91" spans="1:14" x14ac:dyDescent="0.3">
      <c r="A91" t="s">
        <v>218</v>
      </c>
      <c r="B91" s="3">
        <v>45517</v>
      </c>
      <c r="C91" t="s">
        <v>65</v>
      </c>
      <c r="D91" t="s">
        <v>66</v>
      </c>
      <c r="E91" t="s">
        <v>17</v>
      </c>
      <c r="F91" t="s">
        <v>18</v>
      </c>
      <c r="G91" t="s">
        <v>19</v>
      </c>
      <c r="H91">
        <v>3</v>
      </c>
      <c r="I91">
        <v>249.99</v>
      </c>
      <c r="J91" t="s">
        <v>34</v>
      </c>
      <c r="K91" t="s">
        <v>40</v>
      </c>
      <c r="L91" t="s">
        <v>27</v>
      </c>
      <c r="M91" s="3">
        <v>44465</v>
      </c>
      <c r="N91">
        <v>749.97</v>
      </c>
    </row>
    <row r="92" spans="1:14" x14ac:dyDescent="0.3">
      <c r="A92" t="s">
        <v>219</v>
      </c>
      <c r="B92" s="3">
        <v>45517</v>
      </c>
      <c r="C92" t="s">
        <v>38</v>
      </c>
      <c r="D92" t="s">
        <v>39</v>
      </c>
      <c r="E92" t="s">
        <v>126</v>
      </c>
      <c r="F92" t="s">
        <v>127</v>
      </c>
      <c r="G92" t="s">
        <v>46</v>
      </c>
      <c r="H92">
        <v>4</v>
      </c>
      <c r="I92">
        <v>199.99</v>
      </c>
      <c r="J92" t="s">
        <v>20</v>
      </c>
      <c r="K92" t="s">
        <v>40</v>
      </c>
      <c r="L92" t="s">
        <v>36</v>
      </c>
      <c r="M92" s="3">
        <v>44458</v>
      </c>
      <c r="N92">
        <v>799.96</v>
      </c>
    </row>
    <row r="93" spans="1:14" x14ac:dyDescent="0.3">
      <c r="A93" t="s">
        <v>220</v>
      </c>
      <c r="B93" s="3">
        <v>45519</v>
      </c>
      <c r="C93" t="s">
        <v>158</v>
      </c>
      <c r="D93" t="s">
        <v>159</v>
      </c>
      <c r="E93" t="s">
        <v>126</v>
      </c>
      <c r="F93" t="s">
        <v>127</v>
      </c>
      <c r="G93" t="s">
        <v>46</v>
      </c>
      <c r="H93">
        <v>5</v>
      </c>
      <c r="I93">
        <v>199.99</v>
      </c>
      <c r="J93" t="s">
        <v>20</v>
      </c>
      <c r="K93" t="s">
        <v>40</v>
      </c>
      <c r="L93" t="s">
        <v>27</v>
      </c>
      <c r="M93" s="3">
        <v>44991</v>
      </c>
      <c r="N93">
        <v>999.95</v>
      </c>
    </row>
    <row r="94" spans="1:14" x14ac:dyDescent="0.3">
      <c r="A94" t="s">
        <v>221</v>
      </c>
      <c r="B94" s="3">
        <v>45522</v>
      </c>
      <c r="C94" t="s">
        <v>86</v>
      </c>
      <c r="D94" t="s">
        <v>87</v>
      </c>
      <c r="E94" t="s">
        <v>117</v>
      </c>
      <c r="F94" t="s">
        <v>118</v>
      </c>
      <c r="G94" t="s">
        <v>19</v>
      </c>
      <c r="H94">
        <v>2</v>
      </c>
      <c r="I94">
        <v>89.99</v>
      </c>
      <c r="J94" t="s">
        <v>20</v>
      </c>
      <c r="K94" t="s">
        <v>63</v>
      </c>
      <c r="L94" t="s">
        <v>27</v>
      </c>
      <c r="M94" s="3">
        <v>44972</v>
      </c>
      <c r="N94">
        <v>179.98</v>
      </c>
    </row>
    <row r="95" spans="1:14" x14ac:dyDescent="0.3">
      <c r="A95" t="s">
        <v>222</v>
      </c>
      <c r="B95" s="3">
        <v>45523</v>
      </c>
      <c r="C95" t="s">
        <v>196</v>
      </c>
      <c r="D95" t="s">
        <v>197</v>
      </c>
      <c r="E95" t="s">
        <v>61</v>
      </c>
      <c r="F95" t="s">
        <v>62</v>
      </c>
      <c r="G95" t="s">
        <v>19</v>
      </c>
      <c r="H95">
        <v>5</v>
      </c>
      <c r="I95">
        <v>899.99</v>
      </c>
      <c r="J95" t="s">
        <v>57</v>
      </c>
      <c r="K95" t="s">
        <v>63</v>
      </c>
      <c r="L95" t="s">
        <v>22</v>
      </c>
      <c r="M95" s="3">
        <v>44526</v>
      </c>
      <c r="N95">
        <v>4499.95</v>
      </c>
    </row>
    <row r="96" spans="1:14" x14ac:dyDescent="0.3">
      <c r="A96" t="s">
        <v>223</v>
      </c>
      <c r="B96" s="3">
        <v>45523</v>
      </c>
      <c r="C96" t="s">
        <v>108</v>
      </c>
      <c r="D96" t="s">
        <v>109</v>
      </c>
      <c r="E96" t="s">
        <v>52</v>
      </c>
      <c r="F96" t="s">
        <v>53</v>
      </c>
      <c r="G96" t="s">
        <v>19</v>
      </c>
      <c r="H96">
        <v>3</v>
      </c>
      <c r="I96">
        <v>149.99</v>
      </c>
      <c r="J96" t="s">
        <v>34</v>
      </c>
      <c r="K96" t="s">
        <v>63</v>
      </c>
      <c r="L96" t="s">
        <v>22</v>
      </c>
      <c r="M96" s="3">
        <v>44574</v>
      </c>
      <c r="N96">
        <v>449.97</v>
      </c>
    </row>
    <row r="97" spans="1:14" x14ac:dyDescent="0.3">
      <c r="A97" t="s">
        <v>224</v>
      </c>
      <c r="B97" s="3">
        <v>45526</v>
      </c>
      <c r="C97" t="s">
        <v>102</v>
      </c>
      <c r="D97" t="s">
        <v>103</v>
      </c>
      <c r="E97" t="s">
        <v>44</v>
      </c>
      <c r="F97" t="s">
        <v>45</v>
      </c>
      <c r="G97" t="s">
        <v>46</v>
      </c>
      <c r="H97">
        <v>5</v>
      </c>
      <c r="I97">
        <v>149.99</v>
      </c>
      <c r="J97" t="s">
        <v>26</v>
      </c>
      <c r="K97" t="s">
        <v>21</v>
      </c>
      <c r="L97" t="s">
        <v>22</v>
      </c>
      <c r="M97" s="3">
        <v>45310</v>
      </c>
      <c r="N97">
        <v>749.95</v>
      </c>
    </row>
    <row r="98" spans="1:14" x14ac:dyDescent="0.3">
      <c r="A98" t="s">
        <v>225</v>
      </c>
      <c r="B98" s="3">
        <v>45528</v>
      </c>
      <c r="C98" t="s">
        <v>226</v>
      </c>
      <c r="D98" t="s">
        <v>227</v>
      </c>
      <c r="E98" t="s">
        <v>114</v>
      </c>
      <c r="F98" t="s">
        <v>115</v>
      </c>
      <c r="G98" t="s">
        <v>33</v>
      </c>
      <c r="H98">
        <v>3</v>
      </c>
      <c r="I98">
        <v>79.989999999999995</v>
      </c>
      <c r="J98" t="s">
        <v>20</v>
      </c>
      <c r="K98" t="s">
        <v>21</v>
      </c>
      <c r="L98" t="s">
        <v>27</v>
      </c>
      <c r="M98" s="3">
        <v>44779</v>
      </c>
      <c r="N98">
        <v>239.97</v>
      </c>
    </row>
    <row r="99" spans="1:14" x14ac:dyDescent="0.3">
      <c r="A99" t="s">
        <v>228</v>
      </c>
      <c r="B99" s="3">
        <v>45528</v>
      </c>
      <c r="C99" t="s">
        <v>144</v>
      </c>
      <c r="D99" t="s">
        <v>145</v>
      </c>
      <c r="E99" t="s">
        <v>17</v>
      </c>
      <c r="F99" t="s">
        <v>18</v>
      </c>
      <c r="G99" t="s">
        <v>19</v>
      </c>
      <c r="H99">
        <v>2</v>
      </c>
      <c r="I99">
        <v>249.99</v>
      </c>
      <c r="J99" t="s">
        <v>20</v>
      </c>
      <c r="K99" t="s">
        <v>35</v>
      </c>
      <c r="L99" t="s">
        <v>36</v>
      </c>
      <c r="M99" s="3">
        <v>44572</v>
      </c>
      <c r="N99">
        <v>499.98</v>
      </c>
    </row>
    <row r="100" spans="1:14" x14ac:dyDescent="0.3">
      <c r="A100" t="s">
        <v>229</v>
      </c>
      <c r="B100" s="3">
        <v>45532</v>
      </c>
      <c r="C100" t="s">
        <v>196</v>
      </c>
      <c r="D100" t="s">
        <v>197</v>
      </c>
      <c r="E100" t="s">
        <v>80</v>
      </c>
      <c r="F100" t="s">
        <v>81</v>
      </c>
      <c r="G100" t="s">
        <v>19</v>
      </c>
      <c r="H100">
        <v>1</v>
      </c>
      <c r="I100">
        <v>699.99</v>
      </c>
      <c r="J100" t="s">
        <v>20</v>
      </c>
      <c r="K100" t="s">
        <v>21</v>
      </c>
      <c r="L100" t="s">
        <v>27</v>
      </c>
      <c r="M100" s="3">
        <v>44497</v>
      </c>
      <c r="N100">
        <v>699.99</v>
      </c>
    </row>
    <row r="101" spans="1:14" x14ac:dyDescent="0.3">
      <c r="A101" t="s">
        <v>230</v>
      </c>
      <c r="B101" s="3">
        <v>45532</v>
      </c>
      <c r="C101" t="s">
        <v>231</v>
      </c>
      <c r="D101" t="s">
        <v>232</v>
      </c>
      <c r="E101" t="s">
        <v>52</v>
      </c>
      <c r="F101" t="s">
        <v>53</v>
      </c>
      <c r="G101" t="s">
        <v>19</v>
      </c>
      <c r="H101">
        <v>3</v>
      </c>
      <c r="I101">
        <v>149.99</v>
      </c>
      <c r="J101" t="s">
        <v>20</v>
      </c>
      <c r="K101" t="s">
        <v>50</v>
      </c>
      <c r="L101" t="s">
        <v>27</v>
      </c>
      <c r="M101" s="3">
        <v>45212</v>
      </c>
      <c r="N101">
        <v>449.97</v>
      </c>
    </row>
    <row r="102" spans="1:14" x14ac:dyDescent="0.3">
      <c r="A102" t="s">
        <v>233</v>
      </c>
      <c r="B102" s="3">
        <v>45534</v>
      </c>
      <c r="C102" t="s">
        <v>234</v>
      </c>
      <c r="D102" t="s">
        <v>235</v>
      </c>
      <c r="E102" t="s">
        <v>80</v>
      </c>
      <c r="F102" t="s">
        <v>81</v>
      </c>
      <c r="G102" t="s">
        <v>19</v>
      </c>
      <c r="H102">
        <v>2</v>
      </c>
      <c r="I102">
        <v>699.99</v>
      </c>
      <c r="J102" t="s">
        <v>26</v>
      </c>
      <c r="K102" t="s">
        <v>40</v>
      </c>
      <c r="L102" t="s">
        <v>27</v>
      </c>
      <c r="M102" s="3">
        <v>44421</v>
      </c>
      <c r="N102">
        <v>1399.98</v>
      </c>
    </row>
    <row r="103" spans="1:14" x14ac:dyDescent="0.3">
      <c r="A103" t="s">
        <v>236</v>
      </c>
      <c r="B103" s="3">
        <v>45537</v>
      </c>
      <c r="C103" t="s">
        <v>231</v>
      </c>
      <c r="D103" t="s">
        <v>232</v>
      </c>
      <c r="E103" t="s">
        <v>17</v>
      </c>
      <c r="F103" t="s">
        <v>18</v>
      </c>
      <c r="G103" t="s">
        <v>19</v>
      </c>
      <c r="H103">
        <v>1</v>
      </c>
      <c r="I103">
        <v>249.99</v>
      </c>
      <c r="J103" t="s">
        <v>26</v>
      </c>
      <c r="K103" t="s">
        <v>50</v>
      </c>
      <c r="L103" t="s">
        <v>27</v>
      </c>
      <c r="M103" s="3">
        <v>44685</v>
      </c>
      <c r="N103">
        <v>249.99</v>
      </c>
    </row>
    <row r="104" spans="1:14" x14ac:dyDescent="0.3">
      <c r="A104" t="s">
        <v>237</v>
      </c>
      <c r="B104" s="3">
        <v>45537</v>
      </c>
      <c r="C104" t="s">
        <v>15</v>
      </c>
      <c r="D104" t="s">
        <v>16</v>
      </c>
      <c r="E104" t="s">
        <v>17</v>
      </c>
      <c r="F104" t="s">
        <v>18</v>
      </c>
      <c r="G104" t="s">
        <v>19</v>
      </c>
      <c r="H104">
        <v>1</v>
      </c>
      <c r="I104">
        <v>249.99</v>
      </c>
      <c r="J104" t="s">
        <v>57</v>
      </c>
      <c r="K104" t="s">
        <v>40</v>
      </c>
      <c r="L104" t="s">
        <v>27</v>
      </c>
      <c r="M104" s="3">
        <v>45332</v>
      </c>
      <c r="N104">
        <v>249.99</v>
      </c>
    </row>
    <row r="105" spans="1:14" x14ac:dyDescent="0.3">
      <c r="A105" t="s">
        <v>238</v>
      </c>
      <c r="B105" s="3">
        <v>45538</v>
      </c>
      <c r="C105" t="s">
        <v>226</v>
      </c>
      <c r="D105" t="s">
        <v>227</v>
      </c>
      <c r="E105" t="s">
        <v>80</v>
      </c>
      <c r="F105" t="s">
        <v>81</v>
      </c>
      <c r="G105" t="s">
        <v>19</v>
      </c>
      <c r="H105">
        <v>2</v>
      </c>
      <c r="I105">
        <v>699.99</v>
      </c>
      <c r="J105" t="s">
        <v>57</v>
      </c>
      <c r="K105" t="s">
        <v>21</v>
      </c>
      <c r="L105" t="s">
        <v>27</v>
      </c>
      <c r="M105" s="3">
        <v>44870</v>
      </c>
      <c r="N105">
        <v>1399.98</v>
      </c>
    </row>
    <row r="106" spans="1:14" x14ac:dyDescent="0.3">
      <c r="A106" t="s">
        <v>239</v>
      </c>
      <c r="B106" s="3">
        <v>45541</v>
      </c>
      <c r="C106" t="s">
        <v>138</v>
      </c>
      <c r="D106" t="s">
        <v>139</v>
      </c>
      <c r="E106" t="s">
        <v>31</v>
      </c>
      <c r="F106" t="s">
        <v>32</v>
      </c>
      <c r="G106" t="s">
        <v>33</v>
      </c>
      <c r="H106">
        <v>3</v>
      </c>
      <c r="I106">
        <v>59.99</v>
      </c>
      <c r="J106" t="s">
        <v>26</v>
      </c>
      <c r="K106" t="s">
        <v>21</v>
      </c>
      <c r="L106" t="s">
        <v>27</v>
      </c>
      <c r="M106" s="3">
        <v>44717</v>
      </c>
      <c r="N106">
        <v>179.97</v>
      </c>
    </row>
    <row r="107" spans="1:14" x14ac:dyDescent="0.3">
      <c r="A107" t="s">
        <v>240</v>
      </c>
      <c r="B107" s="3">
        <v>45544</v>
      </c>
      <c r="C107" t="s">
        <v>132</v>
      </c>
      <c r="D107" t="s">
        <v>133</v>
      </c>
      <c r="E107" t="s">
        <v>31</v>
      </c>
      <c r="F107" t="s">
        <v>32</v>
      </c>
      <c r="G107" t="s">
        <v>33</v>
      </c>
      <c r="H107">
        <v>3</v>
      </c>
      <c r="I107">
        <v>59.99</v>
      </c>
      <c r="J107" t="s">
        <v>34</v>
      </c>
      <c r="K107" t="s">
        <v>63</v>
      </c>
      <c r="L107" t="s">
        <v>36</v>
      </c>
      <c r="M107" s="3">
        <v>44748</v>
      </c>
      <c r="N107">
        <v>179.97</v>
      </c>
    </row>
    <row r="108" spans="1:14"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row>
    <row r="109" spans="1:14"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row>
    <row r="110" spans="1:14" x14ac:dyDescent="0.3">
      <c r="A110" t="s">
        <v>243</v>
      </c>
      <c r="B110" s="3">
        <v>45547</v>
      </c>
      <c r="C110" t="s">
        <v>48</v>
      </c>
      <c r="D110" t="s">
        <v>49</v>
      </c>
      <c r="E110" t="s">
        <v>105</v>
      </c>
      <c r="F110" t="s">
        <v>106</v>
      </c>
      <c r="G110" t="s">
        <v>46</v>
      </c>
      <c r="H110">
        <v>3</v>
      </c>
      <c r="I110">
        <v>299.99</v>
      </c>
      <c r="J110" t="s">
        <v>26</v>
      </c>
      <c r="K110" t="s">
        <v>21</v>
      </c>
      <c r="L110" t="s">
        <v>27</v>
      </c>
      <c r="M110" s="3">
        <v>44494</v>
      </c>
      <c r="N110">
        <v>899.97</v>
      </c>
    </row>
    <row r="111" spans="1:14" x14ac:dyDescent="0.3">
      <c r="A111" t="s">
        <v>244</v>
      </c>
      <c r="B111" s="3">
        <v>45548</v>
      </c>
      <c r="C111" t="s">
        <v>38</v>
      </c>
      <c r="D111" t="s">
        <v>39</v>
      </c>
      <c r="E111" t="s">
        <v>117</v>
      </c>
      <c r="F111" t="s">
        <v>118</v>
      </c>
      <c r="G111" t="s">
        <v>19</v>
      </c>
      <c r="H111">
        <v>2</v>
      </c>
      <c r="I111">
        <v>89.99</v>
      </c>
      <c r="J111" t="s">
        <v>26</v>
      </c>
      <c r="K111" t="s">
        <v>35</v>
      </c>
      <c r="L111" t="s">
        <v>27</v>
      </c>
      <c r="M111" s="3">
        <v>44641</v>
      </c>
      <c r="N111">
        <v>179.98</v>
      </c>
    </row>
    <row r="112" spans="1:14" x14ac:dyDescent="0.3">
      <c r="A112" t="s">
        <v>245</v>
      </c>
      <c r="B112" s="3">
        <v>45550</v>
      </c>
      <c r="C112" t="s">
        <v>246</v>
      </c>
      <c r="D112" t="s">
        <v>247</v>
      </c>
      <c r="E112" t="s">
        <v>52</v>
      </c>
      <c r="F112" t="s">
        <v>53</v>
      </c>
      <c r="G112" t="s">
        <v>19</v>
      </c>
      <c r="H112">
        <v>4</v>
      </c>
      <c r="I112">
        <v>149.99</v>
      </c>
      <c r="J112" t="s">
        <v>20</v>
      </c>
      <c r="K112" t="s">
        <v>40</v>
      </c>
      <c r="L112" t="s">
        <v>22</v>
      </c>
      <c r="M112" s="3">
        <v>44909</v>
      </c>
      <c r="N112">
        <v>599.96</v>
      </c>
    </row>
    <row r="113" spans="1:14" x14ac:dyDescent="0.3">
      <c r="A113" t="s">
        <v>248</v>
      </c>
      <c r="B113" s="3">
        <v>45551</v>
      </c>
      <c r="C113" t="s">
        <v>65</v>
      </c>
      <c r="D113" t="s">
        <v>66</v>
      </c>
      <c r="E113" t="s">
        <v>17</v>
      </c>
      <c r="F113" t="s">
        <v>18</v>
      </c>
      <c r="G113" t="s">
        <v>19</v>
      </c>
      <c r="H113">
        <v>2</v>
      </c>
      <c r="I113">
        <v>249.99</v>
      </c>
      <c r="J113" t="s">
        <v>34</v>
      </c>
      <c r="K113" t="s">
        <v>35</v>
      </c>
      <c r="L113" t="s">
        <v>22</v>
      </c>
      <c r="M113" s="3">
        <v>44993</v>
      </c>
      <c r="N113">
        <v>499.98</v>
      </c>
    </row>
    <row r="114" spans="1:14" x14ac:dyDescent="0.3">
      <c r="A114" t="s">
        <v>249</v>
      </c>
      <c r="B114" s="3">
        <v>45551</v>
      </c>
      <c r="C114" t="s">
        <v>154</v>
      </c>
      <c r="D114" t="s">
        <v>155</v>
      </c>
      <c r="E114" t="s">
        <v>126</v>
      </c>
      <c r="F114" t="s">
        <v>127</v>
      </c>
      <c r="G114" t="s">
        <v>46</v>
      </c>
      <c r="H114">
        <v>4</v>
      </c>
      <c r="I114">
        <v>199.99</v>
      </c>
      <c r="J114" t="s">
        <v>57</v>
      </c>
      <c r="K114" t="s">
        <v>63</v>
      </c>
      <c r="L114" t="s">
        <v>22</v>
      </c>
      <c r="M114" s="3">
        <v>44458</v>
      </c>
      <c r="N114">
        <v>799.96</v>
      </c>
    </row>
    <row r="115" spans="1:14" x14ac:dyDescent="0.3">
      <c r="A115" t="s">
        <v>250</v>
      </c>
      <c r="B115" s="3">
        <v>45554</v>
      </c>
      <c r="C115" t="s">
        <v>147</v>
      </c>
      <c r="D115" t="s">
        <v>148</v>
      </c>
      <c r="E115" t="s">
        <v>117</v>
      </c>
      <c r="F115" t="s">
        <v>118</v>
      </c>
      <c r="G115" t="s">
        <v>19</v>
      </c>
      <c r="H115">
        <v>5</v>
      </c>
      <c r="I115">
        <v>89.99</v>
      </c>
      <c r="J115" t="s">
        <v>26</v>
      </c>
      <c r="K115" t="s">
        <v>63</v>
      </c>
      <c r="L115" t="s">
        <v>27</v>
      </c>
      <c r="M115" s="3">
        <v>44446</v>
      </c>
      <c r="N115">
        <v>449.95</v>
      </c>
    </row>
    <row r="116" spans="1:14" x14ac:dyDescent="0.3">
      <c r="A116" t="s">
        <v>251</v>
      </c>
      <c r="B116" s="3">
        <v>45554</v>
      </c>
      <c r="C116" t="s">
        <v>252</v>
      </c>
      <c r="D116" t="s">
        <v>253</v>
      </c>
      <c r="E116" t="s">
        <v>52</v>
      </c>
      <c r="F116" t="s">
        <v>53</v>
      </c>
      <c r="G116" t="s">
        <v>19</v>
      </c>
      <c r="H116">
        <v>1</v>
      </c>
      <c r="I116">
        <v>149.99</v>
      </c>
      <c r="J116" t="s">
        <v>34</v>
      </c>
      <c r="K116" t="s">
        <v>63</v>
      </c>
      <c r="L116" t="s">
        <v>36</v>
      </c>
      <c r="M116" s="3">
        <v>44482</v>
      </c>
      <c r="N116">
        <v>149.99</v>
      </c>
    </row>
    <row r="117" spans="1:14" x14ac:dyDescent="0.3">
      <c r="A117" t="s">
        <v>254</v>
      </c>
      <c r="B117" s="3">
        <v>45554</v>
      </c>
      <c r="C117" t="s">
        <v>72</v>
      </c>
      <c r="D117" t="s">
        <v>73</v>
      </c>
      <c r="E117" t="s">
        <v>80</v>
      </c>
      <c r="F117" t="s">
        <v>81</v>
      </c>
      <c r="G117" t="s">
        <v>19</v>
      </c>
      <c r="H117">
        <v>4</v>
      </c>
      <c r="I117">
        <v>699.99</v>
      </c>
      <c r="J117" t="s">
        <v>34</v>
      </c>
      <c r="K117" t="s">
        <v>35</v>
      </c>
      <c r="L117" t="s">
        <v>22</v>
      </c>
      <c r="M117" s="3">
        <v>44618</v>
      </c>
      <c r="N117">
        <v>2799.96</v>
      </c>
    </row>
    <row r="118" spans="1:14" x14ac:dyDescent="0.3">
      <c r="A118" t="s">
        <v>255</v>
      </c>
      <c r="B118" s="3">
        <v>45559</v>
      </c>
      <c r="C118" t="s">
        <v>234</v>
      </c>
      <c r="D118" t="s">
        <v>235</v>
      </c>
      <c r="E118" t="s">
        <v>61</v>
      </c>
      <c r="F118" t="s">
        <v>62</v>
      </c>
      <c r="G118" t="s">
        <v>19</v>
      </c>
      <c r="H118">
        <v>3</v>
      </c>
      <c r="I118">
        <v>899.99</v>
      </c>
      <c r="J118" t="s">
        <v>26</v>
      </c>
      <c r="K118" t="s">
        <v>40</v>
      </c>
      <c r="L118" t="s">
        <v>36</v>
      </c>
      <c r="M118" s="3">
        <v>45157</v>
      </c>
      <c r="N118">
        <v>2699.97</v>
      </c>
    </row>
    <row r="119" spans="1:14" x14ac:dyDescent="0.3">
      <c r="A119" t="s">
        <v>256</v>
      </c>
      <c r="B119" s="3">
        <v>45560</v>
      </c>
      <c r="C119" t="s">
        <v>112</v>
      </c>
      <c r="D119" t="s">
        <v>113</v>
      </c>
      <c r="E119" t="s">
        <v>44</v>
      </c>
      <c r="F119" t="s">
        <v>45</v>
      </c>
      <c r="G119" t="s">
        <v>46</v>
      </c>
      <c r="H119">
        <v>3</v>
      </c>
      <c r="I119">
        <v>149.99</v>
      </c>
      <c r="J119" t="s">
        <v>34</v>
      </c>
      <c r="K119" t="s">
        <v>63</v>
      </c>
      <c r="L119" t="s">
        <v>22</v>
      </c>
      <c r="M119" s="3">
        <v>44886</v>
      </c>
      <c r="N119">
        <v>449.97</v>
      </c>
    </row>
    <row r="120" spans="1:14" x14ac:dyDescent="0.3">
      <c r="A120" t="s">
        <v>257</v>
      </c>
      <c r="B120" s="3">
        <v>45563</v>
      </c>
      <c r="C120" t="s">
        <v>99</v>
      </c>
      <c r="D120" t="s">
        <v>100</v>
      </c>
      <c r="E120" t="s">
        <v>105</v>
      </c>
      <c r="F120" t="s">
        <v>106</v>
      </c>
      <c r="G120" t="s">
        <v>46</v>
      </c>
      <c r="H120">
        <v>2</v>
      </c>
      <c r="I120">
        <v>299.99</v>
      </c>
      <c r="J120" t="s">
        <v>57</v>
      </c>
      <c r="K120" t="s">
        <v>21</v>
      </c>
      <c r="L120" t="s">
        <v>22</v>
      </c>
      <c r="M120" s="3">
        <v>44569</v>
      </c>
      <c r="N120">
        <v>599.98</v>
      </c>
    </row>
    <row r="121" spans="1:14" x14ac:dyDescent="0.3">
      <c r="A121" t="s">
        <v>258</v>
      </c>
      <c r="B121" s="3">
        <v>45564</v>
      </c>
      <c r="C121" t="s">
        <v>259</v>
      </c>
      <c r="D121" t="s">
        <v>260</v>
      </c>
      <c r="E121" t="s">
        <v>126</v>
      </c>
      <c r="F121" t="s">
        <v>127</v>
      </c>
      <c r="G121" t="s">
        <v>46</v>
      </c>
      <c r="H121">
        <v>1</v>
      </c>
      <c r="I121">
        <v>199.99</v>
      </c>
      <c r="J121" t="s">
        <v>57</v>
      </c>
      <c r="K121" t="s">
        <v>63</v>
      </c>
      <c r="L121" t="s">
        <v>36</v>
      </c>
      <c r="M121" s="3">
        <v>44953</v>
      </c>
      <c r="N121">
        <v>199.99</v>
      </c>
    </row>
    <row r="122" spans="1:14" x14ac:dyDescent="0.3">
      <c r="A122" t="s">
        <v>261</v>
      </c>
      <c r="B122" s="3">
        <v>45566</v>
      </c>
      <c r="C122" t="s">
        <v>42</v>
      </c>
      <c r="D122" t="s">
        <v>43</v>
      </c>
      <c r="E122" t="s">
        <v>105</v>
      </c>
      <c r="F122" t="s">
        <v>106</v>
      </c>
      <c r="G122" t="s">
        <v>46</v>
      </c>
      <c r="H122">
        <v>4</v>
      </c>
      <c r="I122">
        <v>299.99</v>
      </c>
      <c r="J122" t="s">
        <v>20</v>
      </c>
      <c r="K122" t="s">
        <v>21</v>
      </c>
      <c r="L122" t="s">
        <v>27</v>
      </c>
      <c r="M122" s="3">
        <v>44460</v>
      </c>
      <c r="N122">
        <v>1199.96</v>
      </c>
    </row>
    <row r="123" spans="1:14" x14ac:dyDescent="0.3">
      <c r="A123" t="s">
        <v>262</v>
      </c>
      <c r="B123" s="3">
        <v>45572</v>
      </c>
      <c r="C123" t="s">
        <v>89</v>
      </c>
      <c r="D123" t="s">
        <v>90</v>
      </c>
      <c r="E123" t="s">
        <v>31</v>
      </c>
      <c r="F123" t="s">
        <v>32</v>
      </c>
      <c r="G123" t="s">
        <v>33</v>
      </c>
      <c r="H123">
        <v>2</v>
      </c>
      <c r="I123">
        <v>59.99</v>
      </c>
      <c r="J123" t="s">
        <v>26</v>
      </c>
      <c r="K123" t="s">
        <v>21</v>
      </c>
      <c r="L123" t="s">
        <v>22</v>
      </c>
      <c r="M123" s="3">
        <v>44579</v>
      </c>
      <c r="N123">
        <v>119.98</v>
      </c>
    </row>
    <row r="124" spans="1:14" x14ac:dyDescent="0.3">
      <c r="A124" t="s">
        <v>263</v>
      </c>
      <c r="B124" s="3">
        <v>45572</v>
      </c>
      <c r="C124" t="s">
        <v>234</v>
      </c>
      <c r="D124" t="s">
        <v>235</v>
      </c>
      <c r="E124" t="s">
        <v>52</v>
      </c>
      <c r="F124" t="s">
        <v>53</v>
      </c>
      <c r="G124" t="s">
        <v>19</v>
      </c>
      <c r="H124">
        <v>4</v>
      </c>
      <c r="I124">
        <v>149.99</v>
      </c>
      <c r="J124" t="s">
        <v>26</v>
      </c>
      <c r="K124" t="s">
        <v>40</v>
      </c>
      <c r="L124" t="s">
        <v>27</v>
      </c>
      <c r="M124" s="3">
        <v>45076</v>
      </c>
      <c r="N124">
        <v>599.96</v>
      </c>
    </row>
    <row r="125" spans="1:14" x14ac:dyDescent="0.3">
      <c r="A125" t="s">
        <v>264</v>
      </c>
      <c r="B125" s="3">
        <v>45573</v>
      </c>
      <c r="C125" t="s">
        <v>211</v>
      </c>
      <c r="D125" t="s">
        <v>212</v>
      </c>
      <c r="E125" t="s">
        <v>80</v>
      </c>
      <c r="F125" t="s">
        <v>81</v>
      </c>
      <c r="G125" t="s">
        <v>19</v>
      </c>
      <c r="H125">
        <v>2</v>
      </c>
      <c r="I125">
        <v>699.99</v>
      </c>
      <c r="J125" t="s">
        <v>57</v>
      </c>
      <c r="K125" t="s">
        <v>63</v>
      </c>
      <c r="L125" t="s">
        <v>27</v>
      </c>
      <c r="M125" s="3">
        <v>45274</v>
      </c>
      <c r="N125">
        <v>1399.98</v>
      </c>
    </row>
    <row r="126" spans="1:14" x14ac:dyDescent="0.3">
      <c r="A126" t="s">
        <v>265</v>
      </c>
      <c r="B126" s="3">
        <v>45573</v>
      </c>
      <c r="C126" t="s">
        <v>231</v>
      </c>
      <c r="D126" t="s">
        <v>232</v>
      </c>
      <c r="E126" t="s">
        <v>44</v>
      </c>
      <c r="F126" t="s">
        <v>45</v>
      </c>
      <c r="G126" t="s">
        <v>46</v>
      </c>
      <c r="H126">
        <v>3</v>
      </c>
      <c r="I126">
        <v>149.99</v>
      </c>
      <c r="J126" t="s">
        <v>26</v>
      </c>
      <c r="K126" t="s">
        <v>35</v>
      </c>
      <c r="L126" t="s">
        <v>36</v>
      </c>
      <c r="M126" s="3">
        <v>44940</v>
      </c>
      <c r="N126">
        <v>449.97</v>
      </c>
    </row>
    <row r="127" spans="1:14" x14ac:dyDescent="0.3">
      <c r="A127" t="s">
        <v>266</v>
      </c>
      <c r="B127" s="3">
        <v>45576</v>
      </c>
      <c r="C127" t="s">
        <v>147</v>
      </c>
      <c r="D127" t="s">
        <v>148</v>
      </c>
      <c r="E127" t="s">
        <v>105</v>
      </c>
      <c r="F127" t="s">
        <v>106</v>
      </c>
      <c r="G127" t="s">
        <v>46</v>
      </c>
      <c r="H127">
        <v>3</v>
      </c>
      <c r="I127">
        <v>299.99</v>
      </c>
      <c r="J127" t="s">
        <v>26</v>
      </c>
      <c r="K127" t="s">
        <v>21</v>
      </c>
      <c r="L127" t="s">
        <v>36</v>
      </c>
      <c r="M127" s="3">
        <v>45174</v>
      </c>
      <c r="N127">
        <v>899.97</v>
      </c>
    </row>
    <row r="128" spans="1:14" x14ac:dyDescent="0.3">
      <c r="A128" t="s">
        <v>267</v>
      </c>
      <c r="B128" s="3">
        <v>45579</v>
      </c>
      <c r="C128" t="s">
        <v>83</v>
      </c>
      <c r="D128" t="s">
        <v>84</v>
      </c>
      <c r="E128" t="s">
        <v>61</v>
      </c>
      <c r="F128" t="s">
        <v>62</v>
      </c>
      <c r="G128" t="s">
        <v>19</v>
      </c>
      <c r="H128">
        <v>3</v>
      </c>
      <c r="I128">
        <v>899.99</v>
      </c>
      <c r="J128" t="s">
        <v>34</v>
      </c>
      <c r="K128" t="s">
        <v>50</v>
      </c>
      <c r="L128" t="s">
        <v>22</v>
      </c>
      <c r="M128" s="3">
        <v>45215</v>
      </c>
      <c r="N128">
        <v>2699.97</v>
      </c>
    </row>
    <row r="129" spans="1:14" x14ac:dyDescent="0.3">
      <c r="A129" t="s">
        <v>268</v>
      </c>
      <c r="B129" s="3">
        <v>45581</v>
      </c>
      <c r="C129" t="s">
        <v>96</v>
      </c>
      <c r="D129" t="s">
        <v>97</v>
      </c>
      <c r="E129" t="s">
        <v>80</v>
      </c>
      <c r="F129" t="s">
        <v>81</v>
      </c>
      <c r="G129" t="s">
        <v>19</v>
      </c>
      <c r="H129">
        <v>5</v>
      </c>
      <c r="I129">
        <v>699.99</v>
      </c>
      <c r="J129" t="s">
        <v>20</v>
      </c>
      <c r="K129" t="s">
        <v>63</v>
      </c>
      <c r="L129" t="s">
        <v>36</v>
      </c>
      <c r="M129" s="3">
        <v>45008</v>
      </c>
      <c r="N129">
        <v>3499.95</v>
      </c>
    </row>
    <row r="130" spans="1:14" x14ac:dyDescent="0.3">
      <c r="A130" t="s">
        <v>269</v>
      </c>
      <c r="B130" s="3">
        <v>45581</v>
      </c>
      <c r="C130" t="s">
        <v>171</v>
      </c>
      <c r="D130" t="s">
        <v>172</v>
      </c>
      <c r="E130" t="s">
        <v>80</v>
      </c>
      <c r="F130" t="s">
        <v>81</v>
      </c>
      <c r="G130" t="s">
        <v>19</v>
      </c>
      <c r="H130">
        <v>4</v>
      </c>
      <c r="I130">
        <v>699.99</v>
      </c>
      <c r="J130" t="s">
        <v>26</v>
      </c>
      <c r="K130" t="s">
        <v>21</v>
      </c>
      <c r="L130" t="s">
        <v>22</v>
      </c>
      <c r="M130" s="3">
        <v>45385</v>
      </c>
      <c r="N130">
        <v>2799.96</v>
      </c>
    </row>
    <row r="131" spans="1:14" x14ac:dyDescent="0.3">
      <c r="A131" t="s">
        <v>270</v>
      </c>
      <c r="B131" s="3">
        <v>45581</v>
      </c>
      <c r="C131" t="s">
        <v>150</v>
      </c>
      <c r="D131" t="s">
        <v>151</v>
      </c>
      <c r="E131" t="s">
        <v>61</v>
      </c>
      <c r="F131" t="s">
        <v>62</v>
      </c>
      <c r="G131" t="s">
        <v>19</v>
      </c>
      <c r="H131">
        <v>1</v>
      </c>
      <c r="I131">
        <v>899.99</v>
      </c>
      <c r="J131" t="s">
        <v>26</v>
      </c>
      <c r="K131" t="s">
        <v>63</v>
      </c>
      <c r="L131" t="s">
        <v>36</v>
      </c>
      <c r="M131" s="3">
        <v>45369</v>
      </c>
      <c r="N131">
        <v>899.99</v>
      </c>
    </row>
    <row r="132" spans="1:14" x14ac:dyDescent="0.3">
      <c r="A132" t="s">
        <v>271</v>
      </c>
      <c r="B132" s="3">
        <v>45583</v>
      </c>
      <c r="C132" t="s">
        <v>226</v>
      </c>
      <c r="D132" t="s">
        <v>227</v>
      </c>
      <c r="E132" t="s">
        <v>52</v>
      </c>
      <c r="F132" t="s">
        <v>53</v>
      </c>
      <c r="G132" t="s">
        <v>19</v>
      </c>
      <c r="H132">
        <v>2</v>
      </c>
      <c r="I132">
        <v>149.99</v>
      </c>
      <c r="J132" t="s">
        <v>26</v>
      </c>
      <c r="K132" t="s">
        <v>50</v>
      </c>
      <c r="L132" t="s">
        <v>22</v>
      </c>
      <c r="M132" s="3">
        <v>44916</v>
      </c>
      <c r="N132">
        <v>299.98</v>
      </c>
    </row>
    <row r="133" spans="1:14"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row>
    <row r="134" spans="1:14" x14ac:dyDescent="0.3">
      <c r="A134" t="s">
        <v>273</v>
      </c>
      <c r="B134" s="3">
        <v>45588</v>
      </c>
      <c r="C134" t="s">
        <v>38</v>
      </c>
      <c r="D134" t="s">
        <v>39</v>
      </c>
      <c r="E134" t="s">
        <v>52</v>
      </c>
      <c r="F134" t="s">
        <v>53</v>
      </c>
      <c r="G134" t="s">
        <v>19</v>
      </c>
      <c r="H134">
        <v>2</v>
      </c>
      <c r="I134">
        <v>149.99</v>
      </c>
      <c r="J134" t="s">
        <v>34</v>
      </c>
      <c r="K134" t="s">
        <v>21</v>
      </c>
      <c r="L134" t="s">
        <v>22</v>
      </c>
      <c r="M134" s="3">
        <v>44473</v>
      </c>
      <c r="N134">
        <v>299.98</v>
      </c>
    </row>
    <row r="135" spans="1:14" x14ac:dyDescent="0.3">
      <c r="A135" t="s">
        <v>274</v>
      </c>
      <c r="B135" s="3">
        <v>45588</v>
      </c>
      <c r="C135" t="s">
        <v>154</v>
      </c>
      <c r="D135" t="s">
        <v>155</v>
      </c>
      <c r="E135" t="s">
        <v>80</v>
      </c>
      <c r="F135" t="s">
        <v>81</v>
      </c>
      <c r="G135" t="s">
        <v>19</v>
      </c>
      <c r="H135">
        <v>2</v>
      </c>
      <c r="I135">
        <v>699.99</v>
      </c>
      <c r="J135" t="s">
        <v>20</v>
      </c>
      <c r="K135" t="s">
        <v>21</v>
      </c>
      <c r="L135" t="s">
        <v>22</v>
      </c>
      <c r="M135" s="3">
        <v>44992</v>
      </c>
      <c r="N135">
        <v>1399.98</v>
      </c>
    </row>
    <row r="136" spans="1:14" x14ac:dyDescent="0.3">
      <c r="A136" t="s">
        <v>275</v>
      </c>
      <c r="B136" s="3">
        <v>45589</v>
      </c>
      <c r="C136" t="s">
        <v>158</v>
      </c>
      <c r="D136" t="s">
        <v>159</v>
      </c>
      <c r="E136" t="s">
        <v>80</v>
      </c>
      <c r="F136" t="s">
        <v>81</v>
      </c>
      <c r="G136" t="s">
        <v>19</v>
      </c>
      <c r="H136">
        <v>5</v>
      </c>
      <c r="I136">
        <v>699.99</v>
      </c>
      <c r="J136" t="s">
        <v>20</v>
      </c>
      <c r="K136" t="s">
        <v>40</v>
      </c>
      <c r="L136" t="s">
        <v>27</v>
      </c>
      <c r="M136" s="3">
        <v>44635</v>
      </c>
      <c r="N136">
        <v>3499.95</v>
      </c>
    </row>
    <row r="137" spans="1:14"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row>
    <row r="138" spans="1:14" x14ac:dyDescent="0.3">
      <c r="A138" t="s">
        <v>277</v>
      </c>
      <c r="B138" s="3">
        <v>45597</v>
      </c>
      <c r="C138" t="s">
        <v>15</v>
      </c>
      <c r="D138" t="s">
        <v>16</v>
      </c>
      <c r="E138" t="s">
        <v>17</v>
      </c>
      <c r="F138" t="s">
        <v>18</v>
      </c>
      <c r="G138" t="s">
        <v>19</v>
      </c>
      <c r="H138">
        <v>5</v>
      </c>
      <c r="I138">
        <v>249.99</v>
      </c>
      <c r="J138" t="s">
        <v>26</v>
      </c>
      <c r="K138" t="s">
        <v>35</v>
      </c>
      <c r="L138" t="s">
        <v>36</v>
      </c>
      <c r="M138" s="3">
        <v>44881</v>
      </c>
      <c r="N138">
        <v>1249.95</v>
      </c>
    </row>
    <row r="139" spans="1:14" x14ac:dyDescent="0.3">
      <c r="A139" t="s">
        <v>278</v>
      </c>
      <c r="B139" s="3">
        <v>45600</v>
      </c>
      <c r="C139" t="s">
        <v>65</v>
      </c>
      <c r="D139" t="s">
        <v>66</v>
      </c>
      <c r="E139" t="s">
        <v>105</v>
      </c>
      <c r="F139" t="s">
        <v>106</v>
      </c>
      <c r="G139" t="s">
        <v>46</v>
      </c>
      <c r="H139">
        <v>3</v>
      </c>
      <c r="I139">
        <v>299.99</v>
      </c>
      <c r="J139" t="s">
        <v>26</v>
      </c>
      <c r="K139" t="s">
        <v>35</v>
      </c>
      <c r="L139" t="s">
        <v>36</v>
      </c>
      <c r="M139" s="3">
        <v>44502</v>
      </c>
      <c r="N139">
        <v>899.97</v>
      </c>
    </row>
    <row r="140" spans="1:14"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row>
    <row r="141" spans="1:14" x14ac:dyDescent="0.3">
      <c r="A141" t="s">
        <v>280</v>
      </c>
      <c r="B141" s="3">
        <v>45604</v>
      </c>
      <c r="C141" t="s">
        <v>89</v>
      </c>
      <c r="D141" t="s">
        <v>90</v>
      </c>
      <c r="E141" t="s">
        <v>44</v>
      </c>
      <c r="F141" t="s">
        <v>45</v>
      </c>
      <c r="G141" t="s">
        <v>46</v>
      </c>
      <c r="H141">
        <v>2</v>
      </c>
      <c r="I141">
        <v>149.99</v>
      </c>
      <c r="J141" t="s">
        <v>26</v>
      </c>
      <c r="K141" t="s">
        <v>50</v>
      </c>
      <c r="L141" t="s">
        <v>27</v>
      </c>
      <c r="M141" s="3">
        <v>44848</v>
      </c>
      <c r="N141">
        <v>299.98</v>
      </c>
    </row>
    <row r="142" spans="1:14" x14ac:dyDescent="0.3">
      <c r="A142" t="s">
        <v>281</v>
      </c>
      <c r="B142" s="3">
        <v>45605</v>
      </c>
      <c r="C142" t="s">
        <v>185</v>
      </c>
      <c r="D142" t="s">
        <v>186</v>
      </c>
      <c r="E142" t="s">
        <v>17</v>
      </c>
      <c r="F142" t="s">
        <v>18</v>
      </c>
      <c r="G142" t="s">
        <v>19</v>
      </c>
      <c r="H142">
        <v>1</v>
      </c>
      <c r="I142">
        <v>249.99</v>
      </c>
      <c r="J142" t="s">
        <v>26</v>
      </c>
      <c r="K142" t="s">
        <v>40</v>
      </c>
      <c r="L142" t="s">
        <v>27</v>
      </c>
      <c r="M142" s="3">
        <v>44828</v>
      </c>
      <c r="N142">
        <v>249.99</v>
      </c>
    </row>
    <row r="143" spans="1:14" x14ac:dyDescent="0.3">
      <c r="A143" t="s">
        <v>282</v>
      </c>
      <c r="B143" s="3">
        <v>45607</v>
      </c>
      <c r="C143" t="s">
        <v>72</v>
      </c>
      <c r="D143" t="s">
        <v>73</v>
      </c>
      <c r="E143" t="s">
        <v>52</v>
      </c>
      <c r="F143" t="s">
        <v>53</v>
      </c>
      <c r="G143" t="s">
        <v>19</v>
      </c>
      <c r="H143">
        <v>3</v>
      </c>
      <c r="I143">
        <v>149.99</v>
      </c>
      <c r="J143" t="s">
        <v>20</v>
      </c>
      <c r="K143" t="s">
        <v>40</v>
      </c>
      <c r="L143" t="s">
        <v>22</v>
      </c>
      <c r="M143" s="3">
        <v>44769</v>
      </c>
      <c r="N143">
        <v>449.97</v>
      </c>
    </row>
    <row r="144" spans="1:14" x14ac:dyDescent="0.3">
      <c r="A144" t="s">
        <v>283</v>
      </c>
      <c r="B144" s="3">
        <v>45607</v>
      </c>
      <c r="C144" t="s">
        <v>15</v>
      </c>
      <c r="D144" t="s">
        <v>16</v>
      </c>
      <c r="E144" t="s">
        <v>31</v>
      </c>
      <c r="F144" t="s">
        <v>32</v>
      </c>
      <c r="G144" t="s">
        <v>33</v>
      </c>
      <c r="H144">
        <v>5</v>
      </c>
      <c r="I144">
        <v>59.99</v>
      </c>
      <c r="J144" t="s">
        <v>34</v>
      </c>
      <c r="K144" t="s">
        <v>50</v>
      </c>
      <c r="L144" t="s">
        <v>27</v>
      </c>
      <c r="M144" s="3">
        <v>44694</v>
      </c>
      <c r="N144">
        <v>299.95</v>
      </c>
    </row>
    <row r="145" spans="1:14" x14ac:dyDescent="0.3">
      <c r="A145" t="s">
        <v>284</v>
      </c>
      <c r="B145" s="3">
        <v>45607</v>
      </c>
      <c r="C145" t="s">
        <v>99</v>
      </c>
      <c r="D145" t="s">
        <v>100</v>
      </c>
      <c r="E145" t="s">
        <v>17</v>
      </c>
      <c r="F145" t="s">
        <v>18</v>
      </c>
      <c r="G145" t="s">
        <v>19</v>
      </c>
      <c r="H145">
        <v>4</v>
      </c>
      <c r="I145">
        <v>249.99</v>
      </c>
      <c r="J145" t="s">
        <v>26</v>
      </c>
      <c r="K145" t="s">
        <v>50</v>
      </c>
      <c r="L145" t="s">
        <v>36</v>
      </c>
      <c r="M145" s="3">
        <v>44659</v>
      </c>
      <c r="N145">
        <v>999.96</v>
      </c>
    </row>
    <row r="146" spans="1:14" x14ac:dyDescent="0.3">
      <c r="A146" t="s">
        <v>285</v>
      </c>
      <c r="B146" s="3">
        <v>45608</v>
      </c>
      <c r="C146" t="s">
        <v>154</v>
      </c>
      <c r="D146" t="s">
        <v>155</v>
      </c>
      <c r="E146" t="s">
        <v>44</v>
      </c>
      <c r="F146" t="s">
        <v>45</v>
      </c>
      <c r="G146" t="s">
        <v>46</v>
      </c>
      <c r="H146">
        <v>5</v>
      </c>
      <c r="I146">
        <v>149.99</v>
      </c>
      <c r="J146" t="s">
        <v>34</v>
      </c>
      <c r="K146" t="s">
        <v>21</v>
      </c>
      <c r="L146" t="s">
        <v>22</v>
      </c>
      <c r="M146" s="3">
        <v>44901</v>
      </c>
      <c r="N146">
        <v>749.95</v>
      </c>
    </row>
    <row r="147" spans="1:14" x14ac:dyDescent="0.3">
      <c r="A147" t="s">
        <v>286</v>
      </c>
      <c r="B147" s="3">
        <v>45608</v>
      </c>
      <c r="C147" t="s">
        <v>83</v>
      </c>
      <c r="D147" t="s">
        <v>84</v>
      </c>
      <c r="E147" t="s">
        <v>31</v>
      </c>
      <c r="F147" t="s">
        <v>32</v>
      </c>
      <c r="G147" t="s">
        <v>33</v>
      </c>
      <c r="H147">
        <v>3</v>
      </c>
      <c r="I147">
        <v>59.99</v>
      </c>
      <c r="J147" t="s">
        <v>57</v>
      </c>
      <c r="K147" t="s">
        <v>35</v>
      </c>
      <c r="L147" t="s">
        <v>36</v>
      </c>
      <c r="M147" s="3">
        <v>45260</v>
      </c>
      <c r="N147">
        <v>179.97</v>
      </c>
    </row>
    <row r="148" spans="1:14" x14ac:dyDescent="0.3">
      <c r="A148" t="s">
        <v>287</v>
      </c>
      <c r="B148" s="3">
        <v>45613</v>
      </c>
      <c r="C148" t="s">
        <v>234</v>
      </c>
      <c r="D148" t="s">
        <v>235</v>
      </c>
      <c r="E148" t="s">
        <v>44</v>
      </c>
      <c r="F148" t="s">
        <v>45</v>
      </c>
      <c r="G148" t="s">
        <v>46</v>
      </c>
      <c r="H148">
        <v>5</v>
      </c>
      <c r="I148">
        <v>149.99</v>
      </c>
      <c r="J148" t="s">
        <v>20</v>
      </c>
      <c r="K148" t="s">
        <v>40</v>
      </c>
      <c r="L148" t="s">
        <v>22</v>
      </c>
      <c r="M148" s="3">
        <v>44869</v>
      </c>
      <c r="N148">
        <v>749.95</v>
      </c>
    </row>
    <row r="149" spans="1:14" x14ac:dyDescent="0.3">
      <c r="A149" t="s">
        <v>288</v>
      </c>
      <c r="B149" s="3">
        <v>45613</v>
      </c>
      <c r="C149" t="s">
        <v>86</v>
      </c>
      <c r="D149" t="s">
        <v>87</v>
      </c>
      <c r="E149" t="s">
        <v>80</v>
      </c>
      <c r="F149" t="s">
        <v>81</v>
      </c>
      <c r="G149" t="s">
        <v>19</v>
      </c>
      <c r="H149">
        <v>2</v>
      </c>
      <c r="I149">
        <v>699.99</v>
      </c>
      <c r="J149" t="s">
        <v>34</v>
      </c>
      <c r="K149" t="s">
        <v>50</v>
      </c>
      <c r="L149" t="s">
        <v>36</v>
      </c>
      <c r="M149" s="3">
        <v>44770</v>
      </c>
      <c r="N149">
        <v>1399.98</v>
      </c>
    </row>
    <row r="150" spans="1:14" x14ac:dyDescent="0.3">
      <c r="A150" t="s">
        <v>289</v>
      </c>
      <c r="B150" s="3">
        <v>45617</v>
      </c>
      <c r="C150" t="s">
        <v>123</v>
      </c>
      <c r="D150" t="s">
        <v>124</v>
      </c>
      <c r="E150" t="s">
        <v>126</v>
      </c>
      <c r="F150" t="s">
        <v>127</v>
      </c>
      <c r="G150" t="s">
        <v>46</v>
      </c>
      <c r="H150">
        <v>4</v>
      </c>
      <c r="I150">
        <v>199.99</v>
      </c>
      <c r="J150" t="s">
        <v>57</v>
      </c>
      <c r="K150" t="s">
        <v>21</v>
      </c>
      <c r="L150" t="s">
        <v>27</v>
      </c>
      <c r="M150" s="3">
        <v>44427</v>
      </c>
      <c r="N150">
        <v>799.96</v>
      </c>
    </row>
    <row r="151" spans="1:14" x14ac:dyDescent="0.3">
      <c r="A151" t="s">
        <v>290</v>
      </c>
      <c r="B151" s="3">
        <v>45619</v>
      </c>
      <c r="C151" t="s">
        <v>192</v>
      </c>
      <c r="D151" t="s">
        <v>193</v>
      </c>
      <c r="E151" t="s">
        <v>31</v>
      </c>
      <c r="F151" t="s">
        <v>32</v>
      </c>
      <c r="G151" t="s">
        <v>33</v>
      </c>
      <c r="H151">
        <v>1</v>
      </c>
      <c r="I151">
        <v>59.99</v>
      </c>
      <c r="J151" t="s">
        <v>57</v>
      </c>
      <c r="K151" t="s">
        <v>50</v>
      </c>
      <c r="L151" t="s">
        <v>36</v>
      </c>
      <c r="M151" s="3">
        <v>44560</v>
      </c>
      <c r="N151">
        <v>59.99</v>
      </c>
    </row>
    <row r="152" spans="1:14"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row>
    <row r="153" spans="1:14" x14ac:dyDescent="0.3">
      <c r="A153" t="s">
        <v>292</v>
      </c>
      <c r="B153" s="3">
        <v>45622</v>
      </c>
      <c r="C153" t="s">
        <v>293</v>
      </c>
      <c r="D153" t="s">
        <v>294</v>
      </c>
      <c r="E153" t="s">
        <v>17</v>
      </c>
      <c r="F153" t="s">
        <v>18</v>
      </c>
      <c r="G153" t="s">
        <v>19</v>
      </c>
      <c r="H153">
        <v>5</v>
      </c>
      <c r="I153">
        <v>249.99</v>
      </c>
      <c r="J153" t="s">
        <v>26</v>
      </c>
      <c r="K153" t="s">
        <v>40</v>
      </c>
      <c r="L153" t="s">
        <v>22</v>
      </c>
      <c r="M153" s="3">
        <v>44873</v>
      </c>
      <c r="N153">
        <v>1249.95</v>
      </c>
    </row>
    <row r="154" spans="1:14" x14ac:dyDescent="0.3">
      <c r="A154" t="s">
        <v>295</v>
      </c>
      <c r="B154" s="3">
        <v>45623</v>
      </c>
      <c r="C154" t="s">
        <v>112</v>
      </c>
      <c r="D154" t="s">
        <v>113</v>
      </c>
      <c r="E154" t="s">
        <v>44</v>
      </c>
      <c r="F154" t="s">
        <v>45</v>
      </c>
      <c r="G154" t="s">
        <v>46</v>
      </c>
      <c r="H154">
        <v>2</v>
      </c>
      <c r="I154">
        <v>149.99</v>
      </c>
      <c r="J154" t="s">
        <v>20</v>
      </c>
      <c r="K154" t="s">
        <v>35</v>
      </c>
      <c r="L154" t="s">
        <v>36</v>
      </c>
      <c r="M154" s="3">
        <v>45101</v>
      </c>
      <c r="N154">
        <v>299.98</v>
      </c>
    </row>
    <row r="155" spans="1:14" x14ac:dyDescent="0.3">
      <c r="A155" t="s">
        <v>296</v>
      </c>
      <c r="B155" s="3">
        <v>45627</v>
      </c>
      <c r="C155" t="s">
        <v>29</v>
      </c>
      <c r="D155" t="s">
        <v>30</v>
      </c>
      <c r="E155" t="s">
        <v>105</v>
      </c>
      <c r="F155" t="s">
        <v>106</v>
      </c>
      <c r="G155" t="s">
        <v>46</v>
      </c>
      <c r="H155">
        <v>3</v>
      </c>
      <c r="I155">
        <v>299.99</v>
      </c>
      <c r="J155" t="s">
        <v>20</v>
      </c>
      <c r="K155" t="s">
        <v>35</v>
      </c>
      <c r="L155" t="s">
        <v>27</v>
      </c>
      <c r="M155" s="3">
        <v>44659</v>
      </c>
      <c r="N155">
        <v>899.97</v>
      </c>
    </row>
    <row r="156" spans="1:14" x14ac:dyDescent="0.3">
      <c r="A156" t="s">
        <v>297</v>
      </c>
      <c r="B156" s="3">
        <v>45627</v>
      </c>
      <c r="C156" t="s">
        <v>55</v>
      </c>
      <c r="D156" t="s">
        <v>56</v>
      </c>
      <c r="E156" t="s">
        <v>17</v>
      </c>
      <c r="F156" t="s">
        <v>18</v>
      </c>
      <c r="G156" t="s">
        <v>19</v>
      </c>
      <c r="H156">
        <v>5</v>
      </c>
      <c r="I156">
        <v>249.99</v>
      </c>
      <c r="J156" t="s">
        <v>20</v>
      </c>
      <c r="K156" t="s">
        <v>21</v>
      </c>
      <c r="L156" t="s">
        <v>27</v>
      </c>
      <c r="M156" s="3">
        <v>44485</v>
      </c>
      <c r="N156">
        <v>1249.95</v>
      </c>
    </row>
    <row r="157" spans="1:14" x14ac:dyDescent="0.3">
      <c r="A157" t="s">
        <v>298</v>
      </c>
      <c r="B157" s="3">
        <v>45627</v>
      </c>
      <c r="C157" t="s">
        <v>24</v>
      </c>
      <c r="D157" t="s">
        <v>25</v>
      </c>
      <c r="E157" t="s">
        <v>52</v>
      </c>
      <c r="F157" t="s">
        <v>53</v>
      </c>
      <c r="G157" t="s">
        <v>19</v>
      </c>
      <c r="H157">
        <v>2</v>
      </c>
      <c r="I157">
        <v>149.99</v>
      </c>
      <c r="J157" t="s">
        <v>20</v>
      </c>
      <c r="K157" t="s">
        <v>35</v>
      </c>
      <c r="L157" t="s">
        <v>27</v>
      </c>
      <c r="M157" s="3">
        <v>44475</v>
      </c>
      <c r="N157">
        <v>299.98</v>
      </c>
    </row>
    <row r="158" spans="1:14" x14ac:dyDescent="0.3">
      <c r="A158" t="s">
        <v>299</v>
      </c>
      <c r="B158" s="3">
        <v>45627</v>
      </c>
      <c r="C158" t="s">
        <v>86</v>
      </c>
      <c r="D158" t="s">
        <v>87</v>
      </c>
      <c r="E158" t="s">
        <v>80</v>
      </c>
      <c r="F158" t="s">
        <v>81</v>
      </c>
      <c r="G158" t="s">
        <v>19</v>
      </c>
      <c r="H158">
        <v>5</v>
      </c>
      <c r="I158">
        <v>699.99</v>
      </c>
      <c r="J158" t="s">
        <v>57</v>
      </c>
      <c r="K158" t="s">
        <v>50</v>
      </c>
      <c r="L158" t="s">
        <v>36</v>
      </c>
      <c r="M158" s="3">
        <v>44944</v>
      </c>
      <c r="N158">
        <v>3499.95</v>
      </c>
    </row>
    <row r="159" spans="1:14" x14ac:dyDescent="0.3">
      <c r="A159" t="s">
        <v>300</v>
      </c>
      <c r="B159" s="3">
        <v>45629</v>
      </c>
      <c r="C159" t="s">
        <v>252</v>
      </c>
      <c r="D159" t="s">
        <v>253</v>
      </c>
      <c r="E159" t="s">
        <v>17</v>
      </c>
      <c r="F159" t="s">
        <v>18</v>
      </c>
      <c r="G159" t="s">
        <v>19</v>
      </c>
      <c r="H159">
        <v>4</v>
      </c>
      <c r="I159">
        <v>249.99</v>
      </c>
      <c r="J159" t="s">
        <v>34</v>
      </c>
      <c r="K159" t="s">
        <v>63</v>
      </c>
      <c r="L159" t="s">
        <v>27</v>
      </c>
      <c r="M159" s="3">
        <v>45098</v>
      </c>
      <c r="N159">
        <v>999.96</v>
      </c>
    </row>
    <row r="160" spans="1:14" x14ac:dyDescent="0.3">
      <c r="A160" t="s">
        <v>301</v>
      </c>
      <c r="B160" s="3">
        <v>45630</v>
      </c>
      <c r="C160" t="s">
        <v>48</v>
      </c>
      <c r="D160" t="s">
        <v>49</v>
      </c>
      <c r="E160" t="s">
        <v>80</v>
      </c>
      <c r="F160" t="s">
        <v>81</v>
      </c>
      <c r="G160" t="s">
        <v>19</v>
      </c>
      <c r="H160">
        <v>4</v>
      </c>
      <c r="I160">
        <v>699.99</v>
      </c>
      <c r="J160" t="s">
        <v>26</v>
      </c>
      <c r="K160" t="s">
        <v>40</v>
      </c>
      <c r="L160" t="s">
        <v>27</v>
      </c>
      <c r="M160" s="3">
        <v>44703</v>
      </c>
      <c r="N160">
        <v>2799.96</v>
      </c>
    </row>
    <row r="161" spans="1:14" x14ac:dyDescent="0.3">
      <c r="A161" t="s">
        <v>302</v>
      </c>
      <c r="B161" s="3">
        <v>45635</v>
      </c>
      <c r="C161" t="s">
        <v>108</v>
      </c>
      <c r="D161" t="s">
        <v>109</v>
      </c>
      <c r="E161" t="s">
        <v>17</v>
      </c>
      <c r="F161" t="s">
        <v>18</v>
      </c>
      <c r="G161" t="s">
        <v>19</v>
      </c>
      <c r="H161">
        <v>2</v>
      </c>
      <c r="I161">
        <v>249.99</v>
      </c>
      <c r="J161" t="s">
        <v>26</v>
      </c>
      <c r="K161" t="s">
        <v>21</v>
      </c>
      <c r="L161" t="s">
        <v>27</v>
      </c>
      <c r="M161" s="3">
        <v>44396</v>
      </c>
      <c r="N161">
        <v>499.98</v>
      </c>
    </row>
    <row r="162" spans="1:14" x14ac:dyDescent="0.3">
      <c r="A162" t="s">
        <v>303</v>
      </c>
      <c r="B162" s="3">
        <v>45635</v>
      </c>
      <c r="C162" t="s">
        <v>304</v>
      </c>
      <c r="D162" t="s">
        <v>305</v>
      </c>
      <c r="E162" t="s">
        <v>31</v>
      </c>
      <c r="F162" t="s">
        <v>32</v>
      </c>
      <c r="G162" t="s">
        <v>33</v>
      </c>
      <c r="H162">
        <v>3</v>
      </c>
      <c r="I162">
        <v>59.99</v>
      </c>
      <c r="J162" t="s">
        <v>20</v>
      </c>
      <c r="K162" t="s">
        <v>21</v>
      </c>
      <c r="L162" t="s">
        <v>27</v>
      </c>
      <c r="M162" s="3">
        <v>45052</v>
      </c>
      <c r="N162">
        <v>179.97</v>
      </c>
    </row>
    <row r="163" spans="1:14"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row>
    <row r="164" spans="1:14"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row>
    <row r="165" spans="1:14" x14ac:dyDescent="0.3">
      <c r="A165" t="s">
        <v>308</v>
      </c>
      <c r="B165" s="3">
        <v>45638</v>
      </c>
      <c r="C165" t="s">
        <v>72</v>
      </c>
      <c r="D165" t="s">
        <v>73</v>
      </c>
      <c r="E165" t="s">
        <v>61</v>
      </c>
      <c r="F165" t="s">
        <v>62</v>
      </c>
      <c r="G165" t="s">
        <v>19</v>
      </c>
      <c r="H165">
        <v>2</v>
      </c>
      <c r="I165">
        <v>899.99</v>
      </c>
      <c r="J165" t="s">
        <v>20</v>
      </c>
      <c r="K165" t="s">
        <v>40</v>
      </c>
      <c r="L165" t="s">
        <v>22</v>
      </c>
      <c r="M165" s="3">
        <v>44406</v>
      </c>
      <c r="N165">
        <v>1799.98</v>
      </c>
    </row>
    <row r="166" spans="1:14" x14ac:dyDescent="0.3">
      <c r="A166" t="s">
        <v>309</v>
      </c>
      <c r="B166" s="3">
        <v>45641</v>
      </c>
      <c r="C166" t="s">
        <v>182</v>
      </c>
      <c r="D166" t="s">
        <v>183</v>
      </c>
      <c r="E166" t="s">
        <v>44</v>
      </c>
      <c r="F166" t="s">
        <v>45</v>
      </c>
      <c r="G166" t="s">
        <v>46</v>
      </c>
      <c r="H166">
        <v>1</v>
      </c>
      <c r="I166">
        <v>149.99</v>
      </c>
      <c r="J166" t="s">
        <v>57</v>
      </c>
      <c r="K166" t="s">
        <v>63</v>
      </c>
      <c r="L166" t="s">
        <v>36</v>
      </c>
      <c r="M166" s="3">
        <v>45200</v>
      </c>
      <c r="N166">
        <v>149.99</v>
      </c>
    </row>
    <row r="167" spans="1:14" x14ac:dyDescent="0.3">
      <c r="A167" t="s">
        <v>310</v>
      </c>
      <c r="B167" s="3">
        <v>45641</v>
      </c>
      <c r="C167" t="s">
        <v>138</v>
      </c>
      <c r="D167" t="s">
        <v>139</v>
      </c>
      <c r="E167" t="s">
        <v>105</v>
      </c>
      <c r="F167" t="s">
        <v>106</v>
      </c>
      <c r="G167" t="s">
        <v>46</v>
      </c>
      <c r="H167">
        <v>2</v>
      </c>
      <c r="I167">
        <v>299.99</v>
      </c>
      <c r="J167" t="s">
        <v>20</v>
      </c>
      <c r="K167" t="s">
        <v>63</v>
      </c>
      <c r="L167" t="s">
        <v>27</v>
      </c>
      <c r="M167" s="3">
        <v>44724</v>
      </c>
      <c r="N167">
        <v>599.98</v>
      </c>
    </row>
    <row r="168" spans="1:14" x14ac:dyDescent="0.3">
      <c r="A168" t="s">
        <v>311</v>
      </c>
      <c r="B168" s="3">
        <v>45644</v>
      </c>
      <c r="C168" t="s">
        <v>132</v>
      </c>
      <c r="D168" t="s">
        <v>133</v>
      </c>
      <c r="E168" t="s">
        <v>31</v>
      </c>
      <c r="F168" t="s">
        <v>32</v>
      </c>
      <c r="G168" t="s">
        <v>33</v>
      </c>
      <c r="H168">
        <v>2</v>
      </c>
      <c r="I168">
        <v>59.99</v>
      </c>
      <c r="J168" t="s">
        <v>20</v>
      </c>
      <c r="K168" t="s">
        <v>50</v>
      </c>
      <c r="L168" t="s">
        <v>22</v>
      </c>
      <c r="M168" s="3">
        <v>45191</v>
      </c>
      <c r="N168">
        <v>119.98</v>
      </c>
    </row>
    <row r="169" spans="1:14" x14ac:dyDescent="0.3">
      <c r="A169" t="s">
        <v>312</v>
      </c>
      <c r="B169" s="3">
        <v>45645</v>
      </c>
      <c r="C169" t="s">
        <v>182</v>
      </c>
      <c r="D169" t="s">
        <v>183</v>
      </c>
      <c r="E169" t="s">
        <v>117</v>
      </c>
      <c r="F169" t="s">
        <v>118</v>
      </c>
      <c r="G169" t="s">
        <v>19</v>
      </c>
      <c r="H169">
        <v>1</v>
      </c>
      <c r="I169">
        <v>89.99</v>
      </c>
      <c r="J169" t="s">
        <v>57</v>
      </c>
      <c r="K169" t="s">
        <v>21</v>
      </c>
      <c r="L169" t="s">
        <v>36</v>
      </c>
      <c r="M169" s="3">
        <v>44760</v>
      </c>
      <c r="N169">
        <v>89.99</v>
      </c>
    </row>
    <row r="170" spans="1:14" x14ac:dyDescent="0.3">
      <c r="A170" t="s">
        <v>313</v>
      </c>
      <c r="B170" s="3">
        <v>45645</v>
      </c>
      <c r="C170" t="s">
        <v>147</v>
      </c>
      <c r="D170" t="s">
        <v>148</v>
      </c>
      <c r="E170" t="s">
        <v>61</v>
      </c>
      <c r="F170" t="s">
        <v>62</v>
      </c>
      <c r="G170" t="s">
        <v>19</v>
      </c>
      <c r="H170">
        <v>5</v>
      </c>
      <c r="I170">
        <v>899.99</v>
      </c>
      <c r="J170" t="s">
        <v>57</v>
      </c>
      <c r="K170" t="s">
        <v>63</v>
      </c>
      <c r="L170" t="s">
        <v>36</v>
      </c>
      <c r="M170" s="3">
        <v>44625</v>
      </c>
      <c r="N170">
        <v>4499.95</v>
      </c>
    </row>
    <row r="171" spans="1:14" x14ac:dyDescent="0.3">
      <c r="A171" t="s">
        <v>314</v>
      </c>
      <c r="B171" s="3">
        <v>45646</v>
      </c>
      <c r="C171" t="s">
        <v>42</v>
      </c>
      <c r="D171" t="s">
        <v>43</v>
      </c>
      <c r="E171" t="s">
        <v>44</v>
      </c>
      <c r="F171" t="s">
        <v>45</v>
      </c>
      <c r="G171" t="s">
        <v>46</v>
      </c>
      <c r="H171">
        <v>2</v>
      </c>
      <c r="I171">
        <v>149.99</v>
      </c>
      <c r="J171" t="s">
        <v>20</v>
      </c>
      <c r="K171" t="s">
        <v>35</v>
      </c>
      <c r="L171" t="s">
        <v>22</v>
      </c>
      <c r="M171" s="3">
        <v>45239</v>
      </c>
      <c r="N171">
        <v>299.98</v>
      </c>
    </row>
    <row r="172" spans="1:14" x14ac:dyDescent="0.3">
      <c r="A172" t="s">
        <v>315</v>
      </c>
      <c r="B172" s="3">
        <v>45648</v>
      </c>
      <c r="C172" t="s">
        <v>112</v>
      </c>
      <c r="D172" t="s">
        <v>113</v>
      </c>
      <c r="E172" t="s">
        <v>52</v>
      </c>
      <c r="F172" t="s">
        <v>53</v>
      </c>
      <c r="G172" t="s">
        <v>19</v>
      </c>
      <c r="H172">
        <v>2</v>
      </c>
      <c r="I172">
        <v>149.99</v>
      </c>
      <c r="J172" t="s">
        <v>57</v>
      </c>
      <c r="K172" t="s">
        <v>50</v>
      </c>
      <c r="L172" t="s">
        <v>27</v>
      </c>
      <c r="M172" s="3">
        <v>45280</v>
      </c>
      <c r="N172">
        <v>299.98</v>
      </c>
    </row>
    <row r="173" spans="1:14" x14ac:dyDescent="0.3">
      <c r="A173" t="s">
        <v>316</v>
      </c>
      <c r="B173" s="3">
        <v>45648</v>
      </c>
      <c r="C173" t="s">
        <v>182</v>
      </c>
      <c r="D173" t="s">
        <v>183</v>
      </c>
      <c r="E173" t="s">
        <v>44</v>
      </c>
      <c r="F173" t="s">
        <v>45</v>
      </c>
      <c r="G173" t="s">
        <v>46</v>
      </c>
      <c r="H173">
        <v>3</v>
      </c>
      <c r="I173">
        <v>149.99</v>
      </c>
      <c r="J173" t="s">
        <v>57</v>
      </c>
      <c r="K173" t="s">
        <v>40</v>
      </c>
      <c r="L173" t="s">
        <v>36</v>
      </c>
      <c r="M173" s="3">
        <v>44522</v>
      </c>
      <c r="N173">
        <v>449.97</v>
      </c>
    </row>
    <row r="174" spans="1:14" x14ac:dyDescent="0.3">
      <c r="A174" t="s">
        <v>317</v>
      </c>
      <c r="B174" s="3">
        <v>45649</v>
      </c>
      <c r="C174" t="s">
        <v>29</v>
      </c>
      <c r="D174" t="s">
        <v>30</v>
      </c>
      <c r="E174" t="s">
        <v>105</v>
      </c>
      <c r="F174" t="s">
        <v>106</v>
      </c>
      <c r="G174" t="s">
        <v>46</v>
      </c>
      <c r="H174">
        <v>2</v>
      </c>
      <c r="I174">
        <v>299.99</v>
      </c>
      <c r="J174" t="s">
        <v>34</v>
      </c>
      <c r="K174" t="s">
        <v>35</v>
      </c>
      <c r="L174" t="s">
        <v>22</v>
      </c>
      <c r="M174" s="3">
        <v>44721</v>
      </c>
      <c r="N174">
        <v>599.98</v>
      </c>
    </row>
    <row r="175" spans="1:14" x14ac:dyDescent="0.3">
      <c r="A175" t="s">
        <v>318</v>
      </c>
      <c r="B175" s="3">
        <v>45654</v>
      </c>
      <c r="C175" t="s">
        <v>42</v>
      </c>
      <c r="D175" t="s">
        <v>43</v>
      </c>
      <c r="E175" t="s">
        <v>105</v>
      </c>
      <c r="F175" t="s">
        <v>106</v>
      </c>
      <c r="G175" t="s">
        <v>46</v>
      </c>
      <c r="H175">
        <v>2</v>
      </c>
      <c r="I175">
        <v>299.99</v>
      </c>
      <c r="J175" t="s">
        <v>20</v>
      </c>
      <c r="K175" t="s">
        <v>50</v>
      </c>
      <c r="L175" t="s">
        <v>22</v>
      </c>
      <c r="M175" s="3">
        <v>44771</v>
      </c>
      <c r="N175">
        <v>599.98</v>
      </c>
    </row>
    <row r="176" spans="1:14" x14ac:dyDescent="0.3">
      <c r="A176" t="s">
        <v>319</v>
      </c>
      <c r="B176" s="3">
        <v>45654</v>
      </c>
      <c r="C176" t="s">
        <v>120</v>
      </c>
      <c r="D176" t="s">
        <v>121</v>
      </c>
      <c r="E176" t="s">
        <v>126</v>
      </c>
      <c r="F176" t="s">
        <v>127</v>
      </c>
      <c r="G176" t="s">
        <v>46</v>
      </c>
      <c r="H176">
        <v>4</v>
      </c>
      <c r="I176">
        <v>199.99</v>
      </c>
      <c r="J176" t="s">
        <v>26</v>
      </c>
      <c r="K176" t="s">
        <v>21</v>
      </c>
      <c r="L176" t="s">
        <v>22</v>
      </c>
      <c r="M176" s="3">
        <v>44523</v>
      </c>
      <c r="N176">
        <v>799.96</v>
      </c>
    </row>
    <row r="177" spans="1:14" x14ac:dyDescent="0.3">
      <c r="A177" t="s">
        <v>320</v>
      </c>
      <c r="B177" s="3">
        <v>45655</v>
      </c>
      <c r="C177" t="s">
        <v>59</v>
      </c>
      <c r="D177" t="s">
        <v>60</v>
      </c>
      <c r="E177" t="s">
        <v>117</v>
      </c>
      <c r="F177" t="s">
        <v>118</v>
      </c>
      <c r="G177" t="s">
        <v>19</v>
      </c>
      <c r="H177">
        <v>1</v>
      </c>
      <c r="I177">
        <v>89.99</v>
      </c>
      <c r="J177" t="s">
        <v>26</v>
      </c>
      <c r="K177" t="s">
        <v>35</v>
      </c>
      <c r="L177" t="s">
        <v>27</v>
      </c>
      <c r="M177" s="3">
        <v>44591</v>
      </c>
      <c r="N177">
        <v>89.99</v>
      </c>
    </row>
    <row r="178" spans="1:14" x14ac:dyDescent="0.3">
      <c r="A178" t="s">
        <v>321</v>
      </c>
      <c r="B178" s="3">
        <v>45655</v>
      </c>
      <c r="C178" t="s">
        <v>108</v>
      </c>
      <c r="D178" t="s">
        <v>109</v>
      </c>
      <c r="E178" t="s">
        <v>44</v>
      </c>
      <c r="F178" t="s">
        <v>45</v>
      </c>
      <c r="G178" t="s">
        <v>46</v>
      </c>
      <c r="H178">
        <v>5</v>
      </c>
      <c r="I178">
        <v>149.99</v>
      </c>
      <c r="J178" t="s">
        <v>20</v>
      </c>
      <c r="K178" t="s">
        <v>21</v>
      </c>
      <c r="L178" t="s">
        <v>27</v>
      </c>
      <c r="M178" s="3">
        <v>45347</v>
      </c>
      <c r="N178">
        <v>749.95</v>
      </c>
    </row>
    <row r="179" spans="1:14" x14ac:dyDescent="0.3">
      <c r="A179" t="s">
        <v>322</v>
      </c>
      <c r="B179" s="3">
        <v>45657</v>
      </c>
      <c r="C179" t="s">
        <v>86</v>
      </c>
      <c r="D179" t="s">
        <v>87</v>
      </c>
      <c r="E179" t="s">
        <v>61</v>
      </c>
      <c r="F179" t="s">
        <v>62</v>
      </c>
      <c r="G179" t="s">
        <v>19</v>
      </c>
      <c r="H179">
        <v>1</v>
      </c>
      <c r="I179">
        <v>899.99</v>
      </c>
      <c r="J179" t="s">
        <v>34</v>
      </c>
      <c r="K179" t="s">
        <v>40</v>
      </c>
      <c r="L179" t="s">
        <v>27</v>
      </c>
      <c r="M179" s="3">
        <v>45050</v>
      </c>
      <c r="N179">
        <v>899.99</v>
      </c>
    </row>
    <row r="180" spans="1:14" x14ac:dyDescent="0.3">
      <c r="A180" t="s">
        <v>323</v>
      </c>
      <c r="B180" s="3">
        <v>45660</v>
      </c>
      <c r="C180" t="s">
        <v>147</v>
      </c>
      <c r="D180" t="s">
        <v>148</v>
      </c>
      <c r="E180" t="s">
        <v>117</v>
      </c>
      <c r="F180" t="s">
        <v>118</v>
      </c>
      <c r="G180" t="s">
        <v>19</v>
      </c>
      <c r="H180">
        <v>2</v>
      </c>
      <c r="I180">
        <v>89.99</v>
      </c>
      <c r="J180" t="s">
        <v>26</v>
      </c>
      <c r="K180" t="s">
        <v>35</v>
      </c>
      <c r="L180" t="s">
        <v>27</v>
      </c>
      <c r="M180" s="3">
        <v>44564</v>
      </c>
      <c r="N180">
        <v>179.98</v>
      </c>
    </row>
    <row r="181" spans="1:14" x14ac:dyDescent="0.3">
      <c r="A181" t="s">
        <v>324</v>
      </c>
      <c r="B181" s="3">
        <v>45661</v>
      </c>
      <c r="C181" t="s">
        <v>325</v>
      </c>
      <c r="D181" t="s">
        <v>326</v>
      </c>
      <c r="E181" t="s">
        <v>61</v>
      </c>
      <c r="F181" t="s">
        <v>62</v>
      </c>
      <c r="G181" t="s">
        <v>19</v>
      </c>
      <c r="H181">
        <v>1</v>
      </c>
      <c r="I181">
        <v>899.99</v>
      </c>
      <c r="J181" t="s">
        <v>34</v>
      </c>
      <c r="K181" t="s">
        <v>40</v>
      </c>
      <c r="L181" t="s">
        <v>36</v>
      </c>
      <c r="M181" s="3">
        <v>44752</v>
      </c>
      <c r="N181">
        <v>899.99</v>
      </c>
    </row>
    <row r="182" spans="1:14" x14ac:dyDescent="0.3">
      <c r="A182" t="s">
        <v>327</v>
      </c>
      <c r="B182" s="3">
        <v>45663</v>
      </c>
      <c r="C182" t="s">
        <v>129</v>
      </c>
      <c r="D182" t="s">
        <v>130</v>
      </c>
      <c r="E182" t="s">
        <v>52</v>
      </c>
      <c r="F182" t="s">
        <v>53</v>
      </c>
      <c r="G182" t="s">
        <v>19</v>
      </c>
      <c r="H182">
        <v>5</v>
      </c>
      <c r="I182">
        <v>149.99</v>
      </c>
      <c r="J182" t="s">
        <v>34</v>
      </c>
      <c r="K182" t="s">
        <v>63</v>
      </c>
      <c r="L182" t="s">
        <v>27</v>
      </c>
      <c r="M182" s="3">
        <v>44824</v>
      </c>
      <c r="N182">
        <v>749.95</v>
      </c>
    </row>
    <row r="183" spans="1:14" x14ac:dyDescent="0.3">
      <c r="A183" t="s">
        <v>328</v>
      </c>
      <c r="B183" s="3">
        <v>45663</v>
      </c>
      <c r="C183" t="s">
        <v>42</v>
      </c>
      <c r="D183" t="s">
        <v>43</v>
      </c>
      <c r="E183" t="s">
        <v>105</v>
      </c>
      <c r="F183" t="s">
        <v>106</v>
      </c>
      <c r="G183" t="s">
        <v>46</v>
      </c>
      <c r="H183">
        <v>3</v>
      </c>
      <c r="I183">
        <v>299.99</v>
      </c>
      <c r="J183" t="s">
        <v>20</v>
      </c>
      <c r="K183" t="s">
        <v>35</v>
      </c>
      <c r="L183" t="s">
        <v>36</v>
      </c>
      <c r="M183" s="3">
        <v>44422</v>
      </c>
      <c r="N183">
        <v>899.97</v>
      </c>
    </row>
    <row r="184" spans="1:14"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row>
    <row r="185" spans="1:14" x14ac:dyDescent="0.3">
      <c r="A185" t="s">
        <v>330</v>
      </c>
      <c r="B185" s="3">
        <v>45667</v>
      </c>
      <c r="C185" t="s">
        <v>108</v>
      </c>
      <c r="D185" t="s">
        <v>109</v>
      </c>
      <c r="E185" t="s">
        <v>126</v>
      </c>
      <c r="F185" t="s">
        <v>127</v>
      </c>
      <c r="G185" t="s">
        <v>46</v>
      </c>
      <c r="H185">
        <v>5</v>
      </c>
      <c r="I185">
        <v>199.99</v>
      </c>
      <c r="J185" t="s">
        <v>34</v>
      </c>
      <c r="K185" t="s">
        <v>21</v>
      </c>
      <c r="L185" t="s">
        <v>36</v>
      </c>
      <c r="M185" s="3">
        <v>44633</v>
      </c>
      <c r="N185">
        <v>999.95</v>
      </c>
    </row>
    <row r="186" spans="1:14" x14ac:dyDescent="0.3">
      <c r="A186" t="s">
        <v>331</v>
      </c>
      <c r="B186" s="3">
        <v>45667</v>
      </c>
      <c r="C186" t="s">
        <v>93</v>
      </c>
      <c r="D186" t="s">
        <v>94</v>
      </c>
      <c r="E186" t="s">
        <v>17</v>
      </c>
      <c r="F186" t="s">
        <v>18</v>
      </c>
      <c r="G186" t="s">
        <v>19</v>
      </c>
      <c r="H186">
        <v>5</v>
      </c>
      <c r="I186">
        <v>249.99</v>
      </c>
      <c r="J186" t="s">
        <v>26</v>
      </c>
      <c r="K186" t="s">
        <v>35</v>
      </c>
      <c r="L186" t="s">
        <v>22</v>
      </c>
      <c r="M186" s="3">
        <v>45330</v>
      </c>
      <c r="N186">
        <v>1249.95</v>
      </c>
    </row>
    <row r="187" spans="1:14" x14ac:dyDescent="0.3">
      <c r="A187" t="s">
        <v>332</v>
      </c>
      <c r="B187" s="3">
        <v>45668</v>
      </c>
      <c r="C187" t="s">
        <v>138</v>
      </c>
      <c r="D187" t="s">
        <v>139</v>
      </c>
      <c r="E187" t="s">
        <v>52</v>
      </c>
      <c r="F187" t="s">
        <v>53</v>
      </c>
      <c r="G187" t="s">
        <v>19</v>
      </c>
      <c r="H187">
        <v>4</v>
      </c>
      <c r="I187">
        <v>149.99</v>
      </c>
      <c r="J187" t="s">
        <v>57</v>
      </c>
      <c r="K187" t="s">
        <v>63</v>
      </c>
      <c r="L187" t="s">
        <v>36</v>
      </c>
      <c r="M187" s="3">
        <v>44536</v>
      </c>
      <c r="N187">
        <v>599.96</v>
      </c>
    </row>
    <row r="188" spans="1:14"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row>
    <row r="189" spans="1:14"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row>
    <row r="190" spans="1:14" x14ac:dyDescent="0.3">
      <c r="A190" t="s">
        <v>335</v>
      </c>
      <c r="B190" s="3">
        <v>45670</v>
      </c>
      <c r="C190" t="s">
        <v>86</v>
      </c>
      <c r="D190" t="s">
        <v>87</v>
      </c>
      <c r="E190" t="s">
        <v>105</v>
      </c>
      <c r="F190" t="s">
        <v>106</v>
      </c>
      <c r="G190" t="s">
        <v>46</v>
      </c>
      <c r="H190">
        <v>1</v>
      </c>
      <c r="I190">
        <v>299.99</v>
      </c>
      <c r="J190" t="s">
        <v>26</v>
      </c>
      <c r="K190" t="s">
        <v>40</v>
      </c>
      <c r="L190" t="s">
        <v>22</v>
      </c>
      <c r="M190" s="3">
        <v>44436</v>
      </c>
      <c r="N190">
        <v>299.99</v>
      </c>
    </row>
    <row r="191" spans="1:14" x14ac:dyDescent="0.3">
      <c r="A191" t="s">
        <v>336</v>
      </c>
      <c r="B191" s="3">
        <v>45671</v>
      </c>
      <c r="C191" t="s">
        <v>158</v>
      </c>
      <c r="D191" t="s">
        <v>159</v>
      </c>
      <c r="E191" t="s">
        <v>17</v>
      </c>
      <c r="F191" t="s">
        <v>18</v>
      </c>
      <c r="G191" t="s">
        <v>19</v>
      </c>
      <c r="H191">
        <v>4</v>
      </c>
      <c r="I191">
        <v>249.99</v>
      </c>
      <c r="J191" t="s">
        <v>26</v>
      </c>
      <c r="K191" t="s">
        <v>40</v>
      </c>
      <c r="L191" t="s">
        <v>27</v>
      </c>
      <c r="M191" s="3">
        <v>44460</v>
      </c>
      <c r="N191">
        <v>999.96</v>
      </c>
    </row>
    <row r="192" spans="1:14" x14ac:dyDescent="0.3">
      <c r="A192" t="s">
        <v>337</v>
      </c>
      <c r="B192" s="3">
        <v>45671</v>
      </c>
      <c r="C192" t="s">
        <v>120</v>
      </c>
      <c r="D192" t="s">
        <v>121</v>
      </c>
      <c r="E192" t="s">
        <v>52</v>
      </c>
      <c r="F192" t="s">
        <v>53</v>
      </c>
      <c r="G192" t="s">
        <v>19</v>
      </c>
      <c r="H192">
        <v>2</v>
      </c>
      <c r="I192">
        <v>149.99</v>
      </c>
      <c r="J192" t="s">
        <v>20</v>
      </c>
      <c r="K192" t="s">
        <v>40</v>
      </c>
      <c r="L192" t="s">
        <v>36</v>
      </c>
      <c r="M192" s="3">
        <v>44913</v>
      </c>
      <c r="N192">
        <v>299.98</v>
      </c>
    </row>
    <row r="193" spans="1:14" x14ac:dyDescent="0.3">
      <c r="A193" t="s">
        <v>338</v>
      </c>
      <c r="B193" s="3">
        <v>45671</v>
      </c>
      <c r="C193" t="s">
        <v>234</v>
      </c>
      <c r="D193" t="s">
        <v>235</v>
      </c>
      <c r="E193" t="s">
        <v>105</v>
      </c>
      <c r="F193" t="s">
        <v>106</v>
      </c>
      <c r="G193" t="s">
        <v>46</v>
      </c>
      <c r="H193">
        <v>3</v>
      </c>
      <c r="I193">
        <v>299.99</v>
      </c>
      <c r="J193" t="s">
        <v>26</v>
      </c>
      <c r="K193" t="s">
        <v>35</v>
      </c>
      <c r="L193" t="s">
        <v>22</v>
      </c>
      <c r="M193" s="3">
        <v>45204</v>
      </c>
      <c r="N193">
        <v>899.97</v>
      </c>
    </row>
    <row r="194" spans="1:14" x14ac:dyDescent="0.3">
      <c r="A194" t="s">
        <v>339</v>
      </c>
      <c r="B194" s="3">
        <v>45673</v>
      </c>
      <c r="C194" t="s">
        <v>226</v>
      </c>
      <c r="D194" t="s">
        <v>227</v>
      </c>
      <c r="E194" t="s">
        <v>126</v>
      </c>
      <c r="F194" t="s">
        <v>127</v>
      </c>
      <c r="G194" t="s">
        <v>46</v>
      </c>
      <c r="H194">
        <v>4</v>
      </c>
      <c r="I194">
        <v>199.99</v>
      </c>
      <c r="J194" t="s">
        <v>57</v>
      </c>
      <c r="K194" t="s">
        <v>35</v>
      </c>
      <c r="L194" t="s">
        <v>36</v>
      </c>
      <c r="M194" s="3">
        <v>44544</v>
      </c>
      <c r="N194">
        <v>799.96</v>
      </c>
    </row>
    <row r="195" spans="1:14" x14ac:dyDescent="0.3">
      <c r="A195" t="s">
        <v>340</v>
      </c>
      <c r="B195" s="3">
        <v>45673</v>
      </c>
      <c r="C195" t="s">
        <v>211</v>
      </c>
      <c r="D195" t="s">
        <v>212</v>
      </c>
      <c r="E195" t="s">
        <v>105</v>
      </c>
      <c r="F195" t="s">
        <v>106</v>
      </c>
      <c r="G195" t="s">
        <v>46</v>
      </c>
      <c r="H195">
        <v>5</v>
      </c>
      <c r="I195">
        <v>299.99</v>
      </c>
      <c r="J195" t="s">
        <v>57</v>
      </c>
      <c r="K195" t="s">
        <v>21</v>
      </c>
      <c r="L195" t="s">
        <v>22</v>
      </c>
      <c r="M195" s="3">
        <v>44431</v>
      </c>
      <c r="N195">
        <v>1499.95</v>
      </c>
    </row>
    <row r="196" spans="1:14" x14ac:dyDescent="0.3">
      <c r="A196" t="s">
        <v>341</v>
      </c>
      <c r="B196" s="3">
        <v>45673</v>
      </c>
      <c r="C196" t="s">
        <v>59</v>
      </c>
      <c r="D196" t="s">
        <v>60</v>
      </c>
      <c r="E196" t="s">
        <v>44</v>
      </c>
      <c r="F196" t="s">
        <v>45</v>
      </c>
      <c r="G196" t="s">
        <v>46</v>
      </c>
      <c r="H196">
        <v>3</v>
      </c>
      <c r="I196">
        <v>149.99</v>
      </c>
      <c r="J196" t="s">
        <v>26</v>
      </c>
      <c r="K196" t="s">
        <v>63</v>
      </c>
      <c r="L196" t="s">
        <v>36</v>
      </c>
      <c r="M196" s="3">
        <v>44395</v>
      </c>
      <c r="N196">
        <v>449.97</v>
      </c>
    </row>
    <row r="197" spans="1:14" x14ac:dyDescent="0.3">
      <c r="A197" t="s">
        <v>342</v>
      </c>
      <c r="B197" s="3">
        <v>45676</v>
      </c>
      <c r="C197" t="s">
        <v>129</v>
      </c>
      <c r="D197" t="s">
        <v>130</v>
      </c>
      <c r="E197" t="s">
        <v>31</v>
      </c>
      <c r="F197" t="s">
        <v>32</v>
      </c>
      <c r="G197" t="s">
        <v>33</v>
      </c>
      <c r="H197">
        <v>5</v>
      </c>
      <c r="I197">
        <v>59.99</v>
      </c>
      <c r="J197" t="s">
        <v>57</v>
      </c>
      <c r="K197" t="s">
        <v>63</v>
      </c>
      <c r="L197" t="s">
        <v>22</v>
      </c>
      <c r="M197" s="3">
        <v>44642</v>
      </c>
      <c r="N197">
        <v>299.95</v>
      </c>
    </row>
    <row r="198" spans="1:14" x14ac:dyDescent="0.3">
      <c r="A198" t="s">
        <v>343</v>
      </c>
      <c r="B198" s="3">
        <v>45682</v>
      </c>
      <c r="C198" t="s">
        <v>68</v>
      </c>
      <c r="D198" t="s">
        <v>69</v>
      </c>
      <c r="E198" t="s">
        <v>31</v>
      </c>
      <c r="F198" t="s">
        <v>32</v>
      </c>
      <c r="G198" t="s">
        <v>33</v>
      </c>
      <c r="H198">
        <v>4</v>
      </c>
      <c r="I198">
        <v>59.99</v>
      </c>
      <c r="J198" t="s">
        <v>57</v>
      </c>
      <c r="K198" t="s">
        <v>63</v>
      </c>
      <c r="L198" t="s">
        <v>36</v>
      </c>
      <c r="M198" s="3">
        <v>44564</v>
      </c>
      <c r="N198">
        <v>239.96</v>
      </c>
    </row>
    <row r="199" spans="1:14" x14ac:dyDescent="0.3">
      <c r="A199" t="s">
        <v>344</v>
      </c>
      <c r="B199" s="3">
        <v>45683</v>
      </c>
      <c r="C199" t="s">
        <v>48</v>
      </c>
      <c r="D199" t="s">
        <v>49</v>
      </c>
      <c r="E199" t="s">
        <v>17</v>
      </c>
      <c r="F199" t="s">
        <v>18</v>
      </c>
      <c r="G199" t="s">
        <v>19</v>
      </c>
      <c r="H199">
        <v>4</v>
      </c>
      <c r="I199">
        <v>249.99</v>
      </c>
      <c r="J199" t="s">
        <v>57</v>
      </c>
      <c r="K199" t="s">
        <v>21</v>
      </c>
      <c r="L199" t="s">
        <v>27</v>
      </c>
      <c r="M199" s="3">
        <v>45217</v>
      </c>
      <c r="N199">
        <v>999.96</v>
      </c>
    </row>
    <row r="200" spans="1:14" x14ac:dyDescent="0.3">
      <c r="A200" t="s">
        <v>345</v>
      </c>
      <c r="B200" s="3">
        <v>45686</v>
      </c>
      <c r="C200" t="s">
        <v>252</v>
      </c>
      <c r="D200" t="s">
        <v>253</v>
      </c>
      <c r="E200" t="s">
        <v>61</v>
      </c>
      <c r="F200" t="s">
        <v>62</v>
      </c>
      <c r="G200" t="s">
        <v>19</v>
      </c>
      <c r="H200">
        <v>4</v>
      </c>
      <c r="I200">
        <v>899.99</v>
      </c>
      <c r="J200" t="s">
        <v>34</v>
      </c>
      <c r="K200" t="s">
        <v>21</v>
      </c>
      <c r="L200" t="s">
        <v>22</v>
      </c>
      <c r="M200" s="3">
        <v>44734</v>
      </c>
      <c r="N200">
        <v>3599.96</v>
      </c>
    </row>
    <row r="201" spans="1:14" x14ac:dyDescent="0.3">
      <c r="A201" t="s">
        <v>346</v>
      </c>
      <c r="B201" s="3">
        <v>45686</v>
      </c>
      <c r="C201" t="s">
        <v>86</v>
      </c>
      <c r="D201" t="s">
        <v>87</v>
      </c>
      <c r="E201" t="s">
        <v>105</v>
      </c>
      <c r="F201" t="s">
        <v>106</v>
      </c>
      <c r="G201" t="s">
        <v>46</v>
      </c>
      <c r="H201">
        <v>3</v>
      </c>
      <c r="I201">
        <v>299.99</v>
      </c>
      <c r="J201" t="s">
        <v>57</v>
      </c>
      <c r="K201" t="s">
        <v>50</v>
      </c>
      <c r="L201" t="s">
        <v>36</v>
      </c>
      <c r="M201" s="3">
        <v>44952</v>
      </c>
      <c r="N201">
        <v>899.97</v>
      </c>
    </row>
    <row r="202" spans="1:14" x14ac:dyDescent="0.3">
      <c r="A202" t="s">
        <v>347</v>
      </c>
      <c r="B202" s="3">
        <v>45686</v>
      </c>
      <c r="C202" t="s">
        <v>293</v>
      </c>
      <c r="D202" t="s">
        <v>294</v>
      </c>
      <c r="E202" t="s">
        <v>80</v>
      </c>
      <c r="F202" t="s">
        <v>81</v>
      </c>
      <c r="G202" t="s">
        <v>19</v>
      </c>
      <c r="H202">
        <v>2</v>
      </c>
      <c r="I202">
        <v>699.99</v>
      </c>
      <c r="J202" t="s">
        <v>57</v>
      </c>
      <c r="K202" t="s">
        <v>21</v>
      </c>
      <c r="L202" t="s">
        <v>27</v>
      </c>
      <c r="M202" s="3">
        <v>44681</v>
      </c>
      <c r="N202">
        <v>1399.98</v>
      </c>
    </row>
    <row r="203" spans="1:14" x14ac:dyDescent="0.3">
      <c r="A203" t="s">
        <v>348</v>
      </c>
      <c r="B203" s="3">
        <v>45688</v>
      </c>
      <c r="C203" t="s">
        <v>65</v>
      </c>
      <c r="D203" t="s">
        <v>66</v>
      </c>
      <c r="E203" t="s">
        <v>80</v>
      </c>
      <c r="F203" t="s">
        <v>81</v>
      </c>
      <c r="G203" t="s">
        <v>19</v>
      </c>
      <c r="H203">
        <v>4</v>
      </c>
      <c r="I203">
        <v>699.99</v>
      </c>
      <c r="J203" t="s">
        <v>57</v>
      </c>
      <c r="K203" t="s">
        <v>50</v>
      </c>
      <c r="L203" t="s">
        <v>27</v>
      </c>
      <c r="M203" s="3">
        <v>44692</v>
      </c>
      <c r="N203">
        <v>2799.96</v>
      </c>
    </row>
    <row r="204" spans="1:14" x14ac:dyDescent="0.3">
      <c r="A204" t="s">
        <v>349</v>
      </c>
      <c r="B204" s="3">
        <v>45688</v>
      </c>
      <c r="C204" t="s">
        <v>123</v>
      </c>
      <c r="D204" t="s">
        <v>124</v>
      </c>
      <c r="E204" t="s">
        <v>117</v>
      </c>
      <c r="F204" t="s">
        <v>118</v>
      </c>
      <c r="G204" t="s">
        <v>19</v>
      </c>
      <c r="H204">
        <v>2</v>
      </c>
      <c r="I204">
        <v>89.99</v>
      </c>
      <c r="J204" t="s">
        <v>57</v>
      </c>
      <c r="K204" t="s">
        <v>35</v>
      </c>
      <c r="L204" t="s">
        <v>22</v>
      </c>
      <c r="M204" s="3">
        <v>44777</v>
      </c>
      <c r="N204">
        <v>179.98</v>
      </c>
    </row>
    <row r="205" spans="1:14"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row>
    <row r="206" spans="1:14" x14ac:dyDescent="0.3">
      <c r="A206" t="s">
        <v>351</v>
      </c>
      <c r="B206" s="3">
        <v>45692</v>
      </c>
      <c r="C206" t="s">
        <v>325</v>
      </c>
      <c r="D206" t="s">
        <v>326</v>
      </c>
      <c r="E206" t="s">
        <v>31</v>
      </c>
      <c r="F206" t="s">
        <v>32</v>
      </c>
      <c r="G206" t="s">
        <v>33</v>
      </c>
      <c r="H206">
        <v>1</v>
      </c>
      <c r="I206">
        <v>59.99</v>
      </c>
      <c r="J206" t="s">
        <v>57</v>
      </c>
      <c r="K206" t="s">
        <v>21</v>
      </c>
      <c r="L206" t="s">
        <v>36</v>
      </c>
      <c r="M206" s="3">
        <v>45045</v>
      </c>
      <c r="N206">
        <v>59.99</v>
      </c>
    </row>
    <row r="207" spans="1:14" x14ac:dyDescent="0.3">
      <c r="A207" t="s">
        <v>352</v>
      </c>
      <c r="B207" s="3">
        <v>45695</v>
      </c>
      <c r="C207" t="s">
        <v>246</v>
      </c>
      <c r="D207" t="s">
        <v>247</v>
      </c>
      <c r="E207" t="s">
        <v>44</v>
      </c>
      <c r="F207" t="s">
        <v>45</v>
      </c>
      <c r="G207" t="s">
        <v>46</v>
      </c>
      <c r="H207">
        <v>3</v>
      </c>
      <c r="I207">
        <v>149.99</v>
      </c>
      <c r="J207" t="s">
        <v>57</v>
      </c>
      <c r="K207" t="s">
        <v>40</v>
      </c>
      <c r="L207" t="s">
        <v>27</v>
      </c>
      <c r="M207" s="3">
        <v>44564</v>
      </c>
      <c r="N207">
        <v>449.97</v>
      </c>
    </row>
    <row r="208" spans="1:14" x14ac:dyDescent="0.3">
      <c r="A208" t="s">
        <v>353</v>
      </c>
      <c r="B208" s="3">
        <v>45695</v>
      </c>
      <c r="C208" t="s">
        <v>93</v>
      </c>
      <c r="D208" t="s">
        <v>94</v>
      </c>
      <c r="E208" t="s">
        <v>105</v>
      </c>
      <c r="F208" t="s">
        <v>106</v>
      </c>
      <c r="G208" t="s">
        <v>46</v>
      </c>
      <c r="H208">
        <v>5</v>
      </c>
      <c r="I208">
        <v>299.99</v>
      </c>
      <c r="J208" t="s">
        <v>26</v>
      </c>
      <c r="K208" t="s">
        <v>35</v>
      </c>
      <c r="L208" t="s">
        <v>22</v>
      </c>
      <c r="M208" s="3">
        <v>44959</v>
      </c>
      <c r="N208">
        <v>1499.95</v>
      </c>
    </row>
    <row r="209" spans="1:14" x14ac:dyDescent="0.3">
      <c r="A209" t="s">
        <v>354</v>
      </c>
      <c r="B209" s="3">
        <v>45696</v>
      </c>
      <c r="C209" t="s">
        <v>150</v>
      </c>
      <c r="D209" t="s">
        <v>151</v>
      </c>
      <c r="E209" t="s">
        <v>31</v>
      </c>
      <c r="F209" t="s">
        <v>32</v>
      </c>
      <c r="G209" t="s">
        <v>33</v>
      </c>
      <c r="H209">
        <v>5</v>
      </c>
      <c r="I209">
        <v>59.99</v>
      </c>
      <c r="J209" t="s">
        <v>57</v>
      </c>
      <c r="K209" t="s">
        <v>21</v>
      </c>
      <c r="L209" t="s">
        <v>36</v>
      </c>
      <c r="M209" s="3">
        <v>45177</v>
      </c>
      <c r="N209">
        <v>299.95</v>
      </c>
    </row>
    <row r="210" spans="1:14"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row>
    <row r="211" spans="1:14" x14ac:dyDescent="0.3">
      <c r="A211" t="s">
        <v>356</v>
      </c>
      <c r="B211" s="3">
        <v>45704</v>
      </c>
      <c r="C211" t="s">
        <v>29</v>
      </c>
      <c r="D211" t="s">
        <v>30</v>
      </c>
      <c r="E211" t="s">
        <v>126</v>
      </c>
      <c r="F211" t="s">
        <v>127</v>
      </c>
      <c r="G211" t="s">
        <v>46</v>
      </c>
      <c r="H211">
        <v>3</v>
      </c>
      <c r="I211">
        <v>199.99</v>
      </c>
      <c r="J211" t="s">
        <v>20</v>
      </c>
      <c r="K211" t="s">
        <v>21</v>
      </c>
      <c r="L211" t="s">
        <v>22</v>
      </c>
      <c r="M211" s="3">
        <v>44735</v>
      </c>
      <c r="N211">
        <v>599.97</v>
      </c>
    </row>
    <row r="212" spans="1:14" x14ac:dyDescent="0.3">
      <c r="A212" t="s">
        <v>357</v>
      </c>
      <c r="B212" s="3">
        <v>45704</v>
      </c>
      <c r="C212" t="s">
        <v>15</v>
      </c>
      <c r="D212" t="s">
        <v>16</v>
      </c>
      <c r="E212" t="s">
        <v>117</v>
      </c>
      <c r="F212" t="s">
        <v>118</v>
      </c>
      <c r="G212" t="s">
        <v>19</v>
      </c>
      <c r="H212">
        <v>2</v>
      </c>
      <c r="I212">
        <v>89.99</v>
      </c>
      <c r="J212" t="s">
        <v>34</v>
      </c>
      <c r="K212" t="s">
        <v>21</v>
      </c>
      <c r="L212" t="s">
        <v>22</v>
      </c>
      <c r="M212" s="3">
        <v>45257</v>
      </c>
      <c r="N212">
        <v>179.98</v>
      </c>
    </row>
    <row r="213" spans="1:14" x14ac:dyDescent="0.3">
      <c r="A213" t="s">
        <v>358</v>
      </c>
      <c r="B213" s="3">
        <v>45705</v>
      </c>
      <c r="C213" t="s">
        <v>259</v>
      </c>
      <c r="D213" t="s">
        <v>260</v>
      </c>
      <c r="E213" t="s">
        <v>44</v>
      </c>
      <c r="F213" t="s">
        <v>45</v>
      </c>
      <c r="G213" t="s">
        <v>46</v>
      </c>
      <c r="H213">
        <v>2</v>
      </c>
      <c r="I213">
        <v>149.99</v>
      </c>
      <c r="J213" t="s">
        <v>20</v>
      </c>
      <c r="K213" t="s">
        <v>35</v>
      </c>
      <c r="L213" t="s">
        <v>27</v>
      </c>
      <c r="M213" s="3">
        <v>44728</v>
      </c>
      <c r="N213">
        <v>299.98</v>
      </c>
    </row>
    <row r="214" spans="1:14" x14ac:dyDescent="0.3">
      <c r="A214" t="s">
        <v>359</v>
      </c>
      <c r="B214" s="3">
        <v>45707</v>
      </c>
      <c r="C214" t="s">
        <v>123</v>
      </c>
      <c r="D214" t="s">
        <v>124</v>
      </c>
      <c r="E214" t="s">
        <v>80</v>
      </c>
      <c r="F214" t="s">
        <v>81</v>
      </c>
      <c r="G214" t="s">
        <v>19</v>
      </c>
      <c r="H214">
        <v>5</v>
      </c>
      <c r="I214">
        <v>699.99</v>
      </c>
      <c r="J214" t="s">
        <v>34</v>
      </c>
      <c r="K214" t="s">
        <v>35</v>
      </c>
      <c r="L214" t="s">
        <v>27</v>
      </c>
      <c r="M214" s="3">
        <v>45352</v>
      </c>
      <c r="N214">
        <v>3499.95</v>
      </c>
    </row>
    <row r="215" spans="1:14" x14ac:dyDescent="0.3">
      <c r="A215" t="s">
        <v>360</v>
      </c>
      <c r="B215" s="3">
        <v>45707</v>
      </c>
      <c r="C215" t="s">
        <v>42</v>
      </c>
      <c r="D215" t="s">
        <v>43</v>
      </c>
      <c r="E215" t="s">
        <v>44</v>
      </c>
      <c r="F215" t="s">
        <v>45</v>
      </c>
      <c r="G215" t="s">
        <v>46</v>
      </c>
      <c r="H215">
        <v>3</v>
      </c>
      <c r="I215">
        <v>149.99</v>
      </c>
      <c r="J215" t="s">
        <v>34</v>
      </c>
      <c r="K215" t="s">
        <v>21</v>
      </c>
      <c r="L215" t="s">
        <v>36</v>
      </c>
      <c r="M215" s="3">
        <v>44633</v>
      </c>
      <c r="N215">
        <v>449.97</v>
      </c>
    </row>
    <row r="216" spans="1:14" x14ac:dyDescent="0.3">
      <c r="A216" t="s">
        <v>361</v>
      </c>
      <c r="B216" s="3">
        <v>45708</v>
      </c>
      <c r="C216" t="s">
        <v>96</v>
      </c>
      <c r="D216" t="s">
        <v>97</v>
      </c>
      <c r="E216" t="s">
        <v>61</v>
      </c>
      <c r="F216" t="s">
        <v>62</v>
      </c>
      <c r="G216" t="s">
        <v>19</v>
      </c>
      <c r="H216">
        <v>3</v>
      </c>
      <c r="I216">
        <v>899.99</v>
      </c>
      <c r="J216" t="s">
        <v>20</v>
      </c>
      <c r="K216" t="s">
        <v>63</v>
      </c>
      <c r="L216" t="s">
        <v>36</v>
      </c>
      <c r="M216" s="3">
        <v>44613</v>
      </c>
      <c r="N216">
        <v>2699.97</v>
      </c>
    </row>
    <row r="217" spans="1:14" x14ac:dyDescent="0.3">
      <c r="A217" t="s">
        <v>362</v>
      </c>
      <c r="B217" s="3">
        <v>45708</v>
      </c>
      <c r="C217" t="s">
        <v>192</v>
      </c>
      <c r="D217" t="s">
        <v>193</v>
      </c>
      <c r="E217" t="s">
        <v>126</v>
      </c>
      <c r="F217" t="s">
        <v>127</v>
      </c>
      <c r="G217" t="s">
        <v>46</v>
      </c>
      <c r="H217">
        <v>3</v>
      </c>
      <c r="I217">
        <v>199.99</v>
      </c>
      <c r="J217" t="s">
        <v>20</v>
      </c>
      <c r="K217" t="s">
        <v>50</v>
      </c>
      <c r="L217" t="s">
        <v>27</v>
      </c>
      <c r="M217" s="3">
        <v>44823</v>
      </c>
      <c r="N217">
        <v>599.97</v>
      </c>
    </row>
    <row r="218" spans="1:14" x14ac:dyDescent="0.3">
      <c r="A218" t="s">
        <v>363</v>
      </c>
      <c r="B218" s="3">
        <v>45710</v>
      </c>
      <c r="C218" t="s">
        <v>55</v>
      </c>
      <c r="D218" t="s">
        <v>56</v>
      </c>
      <c r="E218" t="s">
        <v>105</v>
      </c>
      <c r="F218" t="s">
        <v>106</v>
      </c>
      <c r="G218" t="s">
        <v>46</v>
      </c>
      <c r="H218">
        <v>5</v>
      </c>
      <c r="I218">
        <v>299.99</v>
      </c>
      <c r="J218" t="s">
        <v>20</v>
      </c>
      <c r="K218" t="s">
        <v>50</v>
      </c>
      <c r="L218" t="s">
        <v>36</v>
      </c>
      <c r="M218" s="3">
        <v>45142</v>
      </c>
      <c r="N218">
        <v>1499.95</v>
      </c>
    </row>
    <row r="219" spans="1:14" x14ac:dyDescent="0.3">
      <c r="A219" t="s">
        <v>364</v>
      </c>
      <c r="B219" s="3">
        <v>45710</v>
      </c>
      <c r="C219" t="s">
        <v>150</v>
      </c>
      <c r="D219" t="s">
        <v>151</v>
      </c>
      <c r="E219" t="s">
        <v>80</v>
      </c>
      <c r="F219" t="s">
        <v>81</v>
      </c>
      <c r="G219" t="s">
        <v>19</v>
      </c>
      <c r="H219">
        <v>1</v>
      </c>
      <c r="I219">
        <v>699.99</v>
      </c>
      <c r="J219" t="s">
        <v>34</v>
      </c>
      <c r="K219" t="s">
        <v>50</v>
      </c>
      <c r="L219" t="s">
        <v>22</v>
      </c>
      <c r="M219" s="3">
        <v>44934</v>
      </c>
      <c r="N219">
        <v>699.99</v>
      </c>
    </row>
    <row r="220" spans="1:14" x14ac:dyDescent="0.3">
      <c r="A220" t="s">
        <v>365</v>
      </c>
      <c r="B220" s="3">
        <v>45711</v>
      </c>
      <c r="C220" t="s">
        <v>246</v>
      </c>
      <c r="D220" t="s">
        <v>247</v>
      </c>
      <c r="E220" t="s">
        <v>80</v>
      </c>
      <c r="F220" t="s">
        <v>81</v>
      </c>
      <c r="G220" t="s">
        <v>19</v>
      </c>
      <c r="H220">
        <v>1</v>
      </c>
      <c r="I220">
        <v>699.99</v>
      </c>
      <c r="J220" t="s">
        <v>20</v>
      </c>
      <c r="K220" t="s">
        <v>40</v>
      </c>
      <c r="L220" t="s">
        <v>27</v>
      </c>
      <c r="M220" s="3">
        <v>44583</v>
      </c>
      <c r="N220">
        <v>699.99</v>
      </c>
    </row>
    <row r="221" spans="1:14" x14ac:dyDescent="0.3">
      <c r="A221" t="s">
        <v>366</v>
      </c>
      <c r="B221" s="3">
        <v>45711</v>
      </c>
      <c r="C221" t="s">
        <v>325</v>
      </c>
      <c r="D221" t="s">
        <v>326</v>
      </c>
      <c r="E221" t="s">
        <v>44</v>
      </c>
      <c r="F221" t="s">
        <v>45</v>
      </c>
      <c r="G221" t="s">
        <v>46</v>
      </c>
      <c r="H221">
        <v>4</v>
      </c>
      <c r="I221">
        <v>149.99</v>
      </c>
      <c r="J221" t="s">
        <v>34</v>
      </c>
      <c r="K221" t="s">
        <v>40</v>
      </c>
      <c r="L221" t="s">
        <v>27</v>
      </c>
      <c r="M221" s="3">
        <v>44412</v>
      </c>
      <c r="N221">
        <v>599.96</v>
      </c>
    </row>
    <row r="222" spans="1:14" x14ac:dyDescent="0.3">
      <c r="A222" t="s">
        <v>367</v>
      </c>
      <c r="B222" s="3">
        <v>45711</v>
      </c>
      <c r="C222" t="s">
        <v>211</v>
      </c>
      <c r="D222" t="s">
        <v>212</v>
      </c>
      <c r="E222" t="s">
        <v>117</v>
      </c>
      <c r="F222" t="s">
        <v>118</v>
      </c>
      <c r="G222" t="s">
        <v>19</v>
      </c>
      <c r="H222">
        <v>5</v>
      </c>
      <c r="I222">
        <v>89.99</v>
      </c>
      <c r="J222" t="s">
        <v>34</v>
      </c>
      <c r="K222" t="s">
        <v>50</v>
      </c>
      <c r="L222" t="s">
        <v>27</v>
      </c>
      <c r="M222" s="3">
        <v>45140</v>
      </c>
      <c r="N222">
        <v>449.95</v>
      </c>
    </row>
    <row r="223" spans="1:14" x14ac:dyDescent="0.3">
      <c r="A223" t="s">
        <v>368</v>
      </c>
      <c r="B223" s="3">
        <v>45712</v>
      </c>
      <c r="C223" t="s">
        <v>138</v>
      </c>
      <c r="D223" t="s">
        <v>139</v>
      </c>
      <c r="E223" t="s">
        <v>126</v>
      </c>
      <c r="F223" t="s">
        <v>127</v>
      </c>
      <c r="G223" t="s">
        <v>46</v>
      </c>
      <c r="H223">
        <v>2</v>
      </c>
      <c r="I223">
        <v>199.99</v>
      </c>
      <c r="J223" t="s">
        <v>20</v>
      </c>
      <c r="K223" t="s">
        <v>21</v>
      </c>
      <c r="L223" t="s">
        <v>27</v>
      </c>
      <c r="M223" s="3">
        <v>44573</v>
      </c>
      <c r="N223">
        <v>399.98</v>
      </c>
    </row>
    <row r="224" spans="1:14" x14ac:dyDescent="0.3">
      <c r="A224" t="s">
        <v>369</v>
      </c>
      <c r="B224" s="3">
        <v>45715</v>
      </c>
      <c r="C224" t="s">
        <v>259</v>
      </c>
      <c r="D224" t="s">
        <v>260</v>
      </c>
      <c r="E224" t="s">
        <v>31</v>
      </c>
      <c r="F224" t="s">
        <v>32</v>
      </c>
      <c r="G224" t="s">
        <v>33</v>
      </c>
      <c r="H224">
        <v>4</v>
      </c>
      <c r="I224">
        <v>59.99</v>
      </c>
      <c r="J224" t="s">
        <v>20</v>
      </c>
      <c r="K224" t="s">
        <v>50</v>
      </c>
      <c r="L224" t="s">
        <v>36</v>
      </c>
      <c r="M224" s="3">
        <v>45070</v>
      </c>
      <c r="N224">
        <v>239.96</v>
      </c>
    </row>
    <row r="225" spans="1:14" x14ac:dyDescent="0.3">
      <c r="A225" t="s">
        <v>370</v>
      </c>
      <c r="B225" s="3">
        <v>45715</v>
      </c>
      <c r="C225" t="s">
        <v>93</v>
      </c>
      <c r="D225" t="s">
        <v>94</v>
      </c>
      <c r="E225" t="s">
        <v>105</v>
      </c>
      <c r="F225" t="s">
        <v>106</v>
      </c>
      <c r="G225" t="s">
        <v>46</v>
      </c>
      <c r="H225">
        <v>2</v>
      </c>
      <c r="I225">
        <v>299.99</v>
      </c>
      <c r="J225" t="s">
        <v>34</v>
      </c>
      <c r="K225" t="s">
        <v>35</v>
      </c>
      <c r="L225" t="s">
        <v>22</v>
      </c>
      <c r="M225" s="3">
        <v>44576</v>
      </c>
      <c r="N225">
        <v>599.98</v>
      </c>
    </row>
    <row r="226" spans="1:14" x14ac:dyDescent="0.3">
      <c r="A226" t="s">
        <v>371</v>
      </c>
      <c r="B226" s="3">
        <v>45718</v>
      </c>
      <c r="C226" t="s">
        <v>55</v>
      </c>
      <c r="D226" t="s">
        <v>56</v>
      </c>
      <c r="E226" t="s">
        <v>44</v>
      </c>
      <c r="F226" t="s">
        <v>45</v>
      </c>
      <c r="G226" t="s">
        <v>46</v>
      </c>
      <c r="H226">
        <v>2</v>
      </c>
      <c r="I226">
        <v>149.99</v>
      </c>
      <c r="J226" t="s">
        <v>20</v>
      </c>
      <c r="K226" t="s">
        <v>21</v>
      </c>
      <c r="L226" t="s">
        <v>22</v>
      </c>
      <c r="M226" s="3">
        <v>45068</v>
      </c>
      <c r="N226">
        <v>299.98</v>
      </c>
    </row>
    <row r="227" spans="1:14" x14ac:dyDescent="0.3">
      <c r="A227" t="s">
        <v>372</v>
      </c>
      <c r="B227" s="3">
        <v>45720</v>
      </c>
      <c r="C227" t="s">
        <v>226</v>
      </c>
      <c r="D227" t="s">
        <v>227</v>
      </c>
      <c r="E227" t="s">
        <v>80</v>
      </c>
      <c r="F227" t="s">
        <v>81</v>
      </c>
      <c r="G227" t="s">
        <v>19</v>
      </c>
      <c r="H227">
        <v>5</v>
      </c>
      <c r="I227">
        <v>699.99</v>
      </c>
      <c r="J227" t="s">
        <v>57</v>
      </c>
      <c r="K227" t="s">
        <v>63</v>
      </c>
      <c r="L227" t="s">
        <v>27</v>
      </c>
      <c r="M227" s="3">
        <v>45161</v>
      </c>
      <c r="N227">
        <v>3499.95</v>
      </c>
    </row>
    <row r="228" spans="1:14" x14ac:dyDescent="0.3">
      <c r="A228" t="s">
        <v>373</v>
      </c>
      <c r="B228" s="3">
        <v>45721</v>
      </c>
      <c r="C228" t="s">
        <v>75</v>
      </c>
      <c r="D228" t="s">
        <v>76</v>
      </c>
      <c r="E228" t="s">
        <v>31</v>
      </c>
      <c r="F228" t="s">
        <v>32</v>
      </c>
      <c r="G228" t="s">
        <v>33</v>
      </c>
      <c r="H228">
        <v>5</v>
      </c>
      <c r="I228">
        <v>59.99</v>
      </c>
      <c r="J228" t="s">
        <v>20</v>
      </c>
      <c r="K228" t="s">
        <v>50</v>
      </c>
      <c r="L228" t="s">
        <v>27</v>
      </c>
      <c r="M228" s="3">
        <v>45291</v>
      </c>
      <c r="N228">
        <v>299.95</v>
      </c>
    </row>
    <row r="229" spans="1:14" x14ac:dyDescent="0.3">
      <c r="A229" t="s">
        <v>374</v>
      </c>
      <c r="B229" s="3">
        <v>45723</v>
      </c>
      <c r="C229" t="s">
        <v>15</v>
      </c>
      <c r="D229" t="s">
        <v>16</v>
      </c>
      <c r="E229" t="s">
        <v>117</v>
      </c>
      <c r="F229" t="s">
        <v>118</v>
      </c>
      <c r="G229" t="s">
        <v>19</v>
      </c>
      <c r="H229">
        <v>2</v>
      </c>
      <c r="I229">
        <v>89.99</v>
      </c>
      <c r="J229" t="s">
        <v>26</v>
      </c>
      <c r="K229" t="s">
        <v>50</v>
      </c>
      <c r="L229" t="s">
        <v>27</v>
      </c>
      <c r="M229" s="3">
        <v>45295</v>
      </c>
      <c r="N229">
        <v>179.98</v>
      </c>
    </row>
    <row r="230" spans="1:14" x14ac:dyDescent="0.3">
      <c r="A230" t="s">
        <v>375</v>
      </c>
      <c r="B230" s="3">
        <v>45723</v>
      </c>
      <c r="C230" t="s">
        <v>120</v>
      </c>
      <c r="D230" t="s">
        <v>121</v>
      </c>
      <c r="E230" t="s">
        <v>17</v>
      </c>
      <c r="F230" t="s">
        <v>18</v>
      </c>
      <c r="G230" t="s">
        <v>19</v>
      </c>
      <c r="H230">
        <v>5</v>
      </c>
      <c r="I230">
        <v>249.99</v>
      </c>
      <c r="J230" t="s">
        <v>20</v>
      </c>
      <c r="K230" t="s">
        <v>63</v>
      </c>
      <c r="L230" t="s">
        <v>36</v>
      </c>
      <c r="M230" s="3">
        <v>44540</v>
      </c>
      <c r="N230">
        <v>1249.95</v>
      </c>
    </row>
    <row r="231" spans="1:14" x14ac:dyDescent="0.3">
      <c r="A231" t="s">
        <v>376</v>
      </c>
      <c r="B231" s="3">
        <v>45724</v>
      </c>
      <c r="C231" t="s">
        <v>226</v>
      </c>
      <c r="D231" t="s">
        <v>227</v>
      </c>
      <c r="E231" t="s">
        <v>44</v>
      </c>
      <c r="F231" t="s">
        <v>45</v>
      </c>
      <c r="G231" t="s">
        <v>46</v>
      </c>
      <c r="H231">
        <v>2</v>
      </c>
      <c r="I231">
        <v>149.99</v>
      </c>
      <c r="J231" t="s">
        <v>34</v>
      </c>
      <c r="K231" t="s">
        <v>21</v>
      </c>
      <c r="L231" t="s">
        <v>27</v>
      </c>
      <c r="M231" s="3">
        <v>44632</v>
      </c>
      <c r="N231">
        <v>299.98</v>
      </c>
    </row>
    <row r="232" spans="1:14" x14ac:dyDescent="0.3">
      <c r="A232" t="s">
        <v>377</v>
      </c>
      <c r="B232" s="3">
        <v>45724</v>
      </c>
      <c r="C232" t="s">
        <v>144</v>
      </c>
      <c r="D232" t="s">
        <v>145</v>
      </c>
      <c r="E232" t="s">
        <v>61</v>
      </c>
      <c r="F232" t="s">
        <v>62</v>
      </c>
      <c r="G232" t="s">
        <v>19</v>
      </c>
      <c r="H232">
        <v>5</v>
      </c>
      <c r="I232">
        <v>899.99</v>
      </c>
      <c r="J232" t="s">
        <v>34</v>
      </c>
      <c r="K232" t="s">
        <v>63</v>
      </c>
      <c r="L232" t="s">
        <v>27</v>
      </c>
      <c r="M232" s="3">
        <v>45389</v>
      </c>
      <c r="N232">
        <v>4499.95</v>
      </c>
    </row>
    <row r="233" spans="1:14" x14ac:dyDescent="0.3">
      <c r="A233" t="s">
        <v>378</v>
      </c>
      <c r="B233" s="3">
        <v>45724</v>
      </c>
      <c r="C233" t="s">
        <v>55</v>
      </c>
      <c r="D233" t="s">
        <v>56</v>
      </c>
      <c r="E233" t="s">
        <v>44</v>
      </c>
      <c r="F233" t="s">
        <v>45</v>
      </c>
      <c r="G233" t="s">
        <v>46</v>
      </c>
      <c r="H233">
        <v>4</v>
      </c>
      <c r="I233">
        <v>149.99</v>
      </c>
      <c r="J233" t="s">
        <v>20</v>
      </c>
      <c r="K233" t="s">
        <v>21</v>
      </c>
      <c r="L233" t="s">
        <v>36</v>
      </c>
      <c r="M233" s="3">
        <v>45263</v>
      </c>
      <c r="N233">
        <v>599.96</v>
      </c>
    </row>
    <row r="234" spans="1:14" x14ac:dyDescent="0.3">
      <c r="A234" t="s">
        <v>379</v>
      </c>
      <c r="B234" s="3">
        <v>45726</v>
      </c>
      <c r="C234" t="s">
        <v>144</v>
      </c>
      <c r="D234" t="s">
        <v>145</v>
      </c>
      <c r="E234" t="s">
        <v>17</v>
      </c>
      <c r="F234" t="s">
        <v>18</v>
      </c>
      <c r="G234" t="s">
        <v>19</v>
      </c>
      <c r="H234">
        <v>1</v>
      </c>
      <c r="I234">
        <v>249.99</v>
      </c>
      <c r="J234" t="s">
        <v>20</v>
      </c>
      <c r="K234" t="s">
        <v>40</v>
      </c>
      <c r="L234" t="s">
        <v>36</v>
      </c>
      <c r="M234" s="3">
        <v>45117</v>
      </c>
      <c r="N234">
        <v>249.99</v>
      </c>
    </row>
    <row r="235" spans="1:14" x14ac:dyDescent="0.3">
      <c r="A235" t="s">
        <v>380</v>
      </c>
      <c r="B235" s="3">
        <v>45734</v>
      </c>
      <c r="C235" t="s">
        <v>192</v>
      </c>
      <c r="D235" t="s">
        <v>193</v>
      </c>
      <c r="E235" t="s">
        <v>31</v>
      </c>
      <c r="F235" t="s">
        <v>32</v>
      </c>
      <c r="G235" t="s">
        <v>33</v>
      </c>
      <c r="H235">
        <v>2</v>
      </c>
      <c r="I235">
        <v>59.99</v>
      </c>
      <c r="J235" t="s">
        <v>26</v>
      </c>
      <c r="K235" t="s">
        <v>50</v>
      </c>
      <c r="L235" t="s">
        <v>22</v>
      </c>
      <c r="M235" s="3">
        <v>45193</v>
      </c>
      <c r="N235">
        <v>119.98</v>
      </c>
    </row>
    <row r="236" spans="1:14" x14ac:dyDescent="0.3">
      <c r="A236" t="s">
        <v>381</v>
      </c>
      <c r="B236" s="3">
        <v>45737</v>
      </c>
      <c r="C236" t="s">
        <v>132</v>
      </c>
      <c r="D236" t="s">
        <v>133</v>
      </c>
      <c r="E236" t="s">
        <v>44</v>
      </c>
      <c r="F236" t="s">
        <v>45</v>
      </c>
      <c r="G236" t="s">
        <v>46</v>
      </c>
      <c r="H236">
        <v>2</v>
      </c>
      <c r="I236">
        <v>149.99</v>
      </c>
      <c r="J236" t="s">
        <v>20</v>
      </c>
      <c r="K236" t="s">
        <v>50</v>
      </c>
      <c r="L236" t="s">
        <v>27</v>
      </c>
      <c r="M236" s="3">
        <v>45233</v>
      </c>
      <c r="N236">
        <v>299.98</v>
      </c>
    </row>
    <row r="237" spans="1:14" x14ac:dyDescent="0.3">
      <c r="A237" t="s">
        <v>382</v>
      </c>
      <c r="B237" s="3">
        <v>45737</v>
      </c>
      <c r="C237" t="s">
        <v>150</v>
      </c>
      <c r="D237" t="s">
        <v>151</v>
      </c>
      <c r="E237" t="s">
        <v>61</v>
      </c>
      <c r="F237" t="s">
        <v>62</v>
      </c>
      <c r="G237" t="s">
        <v>19</v>
      </c>
      <c r="H237">
        <v>3</v>
      </c>
      <c r="I237">
        <v>899.99</v>
      </c>
      <c r="J237" t="s">
        <v>57</v>
      </c>
      <c r="K237" t="s">
        <v>40</v>
      </c>
      <c r="L237" t="s">
        <v>27</v>
      </c>
      <c r="M237" s="3">
        <v>44876</v>
      </c>
      <c r="N237">
        <v>2699.97</v>
      </c>
    </row>
    <row r="238" spans="1:14" x14ac:dyDescent="0.3">
      <c r="A238" t="s">
        <v>383</v>
      </c>
      <c r="B238" s="3">
        <v>45737</v>
      </c>
      <c r="C238" t="s">
        <v>48</v>
      </c>
      <c r="D238" t="s">
        <v>49</v>
      </c>
      <c r="E238" t="s">
        <v>61</v>
      </c>
      <c r="F238" t="s">
        <v>62</v>
      </c>
      <c r="G238" t="s">
        <v>19</v>
      </c>
      <c r="H238">
        <v>3</v>
      </c>
      <c r="I238">
        <v>899.99</v>
      </c>
      <c r="J238" t="s">
        <v>34</v>
      </c>
      <c r="K238" t="s">
        <v>40</v>
      </c>
      <c r="L238" t="s">
        <v>22</v>
      </c>
      <c r="M238" s="3">
        <v>44975</v>
      </c>
      <c r="N238">
        <v>2699.97</v>
      </c>
    </row>
    <row r="239" spans="1:14" x14ac:dyDescent="0.3">
      <c r="A239" t="s">
        <v>384</v>
      </c>
      <c r="B239" s="3">
        <v>45739</v>
      </c>
      <c r="C239" t="s">
        <v>15</v>
      </c>
      <c r="D239" t="s">
        <v>16</v>
      </c>
      <c r="E239" t="s">
        <v>105</v>
      </c>
      <c r="F239" t="s">
        <v>106</v>
      </c>
      <c r="G239" t="s">
        <v>46</v>
      </c>
      <c r="H239">
        <v>3</v>
      </c>
      <c r="I239">
        <v>299.99</v>
      </c>
      <c r="J239" t="s">
        <v>26</v>
      </c>
      <c r="K239" t="s">
        <v>50</v>
      </c>
      <c r="L239" t="s">
        <v>27</v>
      </c>
      <c r="M239" s="3">
        <v>45234</v>
      </c>
      <c r="N239">
        <v>899.97</v>
      </c>
    </row>
    <row r="240" spans="1:14" x14ac:dyDescent="0.3">
      <c r="A240" t="s">
        <v>385</v>
      </c>
      <c r="B240" s="3">
        <v>45740</v>
      </c>
      <c r="C240" t="s">
        <v>386</v>
      </c>
      <c r="D240" t="s">
        <v>387</v>
      </c>
      <c r="E240" t="s">
        <v>44</v>
      </c>
      <c r="F240" t="s">
        <v>45</v>
      </c>
      <c r="G240" t="s">
        <v>46</v>
      </c>
      <c r="H240">
        <v>4</v>
      </c>
      <c r="I240">
        <v>149.99</v>
      </c>
      <c r="J240" t="s">
        <v>34</v>
      </c>
      <c r="K240" t="s">
        <v>50</v>
      </c>
      <c r="L240" t="s">
        <v>36</v>
      </c>
      <c r="M240" s="3">
        <v>44560</v>
      </c>
      <c r="N240">
        <v>599.96</v>
      </c>
    </row>
    <row r="241" spans="1:14"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row>
    <row r="242" spans="1:14" x14ac:dyDescent="0.3">
      <c r="A242" t="s">
        <v>389</v>
      </c>
      <c r="B242" s="3">
        <v>45745</v>
      </c>
      <c r="C242" t="s">
        <v>185</v>
      </c>
      <c r="D242" t="s">
        <v>186</v>
      </c>
      <c r="E242" t="s">
        <v>117</v>
      </c>
      <c r="F242" t="s">
        <v>118</v>
      </c>
      <c r="G242" t="s">
        <v>19</v>
      </c>
      <c r="H242">
        <v>5</v>
      </c>
      <c r="I242">
        <v>89.99</v>
      </c>
      <c r="J242" t="s">
        <v>34</v>
      </c>
      <c r="K242" t="s">
        <v>35</v>
      </c>
      <c r="L242" t="s">
        <v>22</v>
      </c>
      <c r="M242" s="3">
        <v>44704</v>
      </c>
      <c r="N242">
        <v>449.95</v>
      </c>
    </row>
    <row r="243" spans="1:14" x14ac:dyDescent="0.3">
      <c r="A243" t="s">
        <v>390</v>
      </c>
      <c r="B243" s="3">
        <v>45746</v>
      </c>
      <c r="C243" t="s">
        <v>93</v>
      </c>
      <c r="D243" t="s">
        <v>94</v>
      </c>
      <c r="E243" t="s">
        <v>44</v>
      </c>
      <c r="F243" t="s">
        <v>45</v>
      </c>
      <c r="G243" t="s">
        <v>46</v>
      </c>
      <c r="H243">
        <v>3</v>
      </c>
      <c r="I243">
        <v>149.99</v>
      </c>
      <c r="J243" t="s">
        <v>34</v>
      </c>
      <c r="K243" t="s">
        <v>21</v>
      </c>
      <c r="L243" t="s">
        <v>36</v>
      </c>
      <c r="M243" s="3">
        <v>45171</v>
      </c>
      <c r="N243">
        <v>449.97</v>
      </c>
    </row>
    <row r="244" spans="1:14" x14ac:dyDescent="0.3">
      <c r="A244" t="s">
        <v>391</v>
      </c>
      <c r="B244" s="3">
        <v>45746</v>
      </c>
      <c r="C244" t="s">
        <v>65</v>
      </c>
      <c r="D244" t="s">
        <v>66</v>
      </c>
      <c r="E244" t="s">
        <v>117</v>
      </c>
      <c r="F244" t="s">
        <v>118</v>
      </c>
      <c r="G244" t="s">
        <v>19</v>
      </c>
      <c r="H244">
        <v>2</v>
      </c>
      <c r="I244">
        <v>89.99</v>
      </c>
      <c r="J244" t="s">
        <v>57</v>
      </c>
      <c r="K244" t="s">
        <v>50</v>
      </c>
      <c r="L244" t="s">
        <v>27</v>
      </c>
      <c r="M244" s="3">
        <v>44522</v>
      </c>
      <c r="N244">
        <v>179.98</v>
      </c>
    </row>
    <row r="245" spans="1:14" x14ac:dyDescent="0.3">
      <c r="A245" t="s">
        <v>392</v>
      </c>
      <c r="B245" s="3">
        <v>45748</v>
      </c>
      <c r="C245" t="s">
        <v>102</v>
      </c>
      <c r="D245" t="s">
        <v>103</v>
      </c>
      <c r="E245" t="s">
        <v>80</v>
      </c>
      <c r="F245" t="s">
        <v>81</v>
      </c>
      <c r="G245" t="s">
        <v>19</v>
      </c>
      <c r="H245">
        <v>2</v>
      </c>
      <c r="I245">
        <v>699.99</v>
      </c>
      <c r="J245" t="s">
        <v>34</v>
      </c>
      <c r="K245" t="s">
        <v>40</v>
      </c>
      <c r="L245" t="s">
        <v>36</v>
      </c>
      <c r="M245" s="3">
        <v>44618</v>
      </c>
      <c r="N245">
        <v>1399.98</v>
      </c>
    </row>
    <row r="246" spans="1:14" x14ac:dyDescent="0.3">
      <c r="A246" t="s">
        <v>393</v>
      </c>
      <c r="B246" s="3">
        <v>45749</v>
      </c>
      <c r="C246" t="s">
        <v>123</v>
      </c>
      <c r="D246" t="s">
        <v>124</v>
      </c>
      <c r="E246" t="s">
        <v>61</v>
      </c>
      <c r="F246" t="s">
        <v>62</v>
      </c>
      <c r="G246" t="s">
        <v>19</v>
      </c>
      <c r="H246">
        <v>3</v>
      </c>
      <c r="I246">
        <v>899.99</v>
      </c>
      <c r="J246" t="s">
        <v>20</v>
      </c>
      <c r="K246" t="s">
        <v>21</v>
      </c>
      <c r="L246" t="s">
        <v>36</v>
      </c>
      <c r="M246" s="3">
        <v>44953</v>
      </c>
      <c r="N246">
        <v>2699.97</v>
      </c>
    </row>
    <row r="247" spans="1:14"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row>
    <row r="248" spans="1:14" x14ac:dyDescent="0.3">
      <c r="A248" t="s">
        <v>395</v>
      </c>
      <c r="B248" s="3">
        <v>45756</v>
      </c>
      <c r="C248" t="s">
        <v>59</v>
      </c>
      <c r="D248" t="s">
        <v>60</v>
      </c>
      <c r="E248" t="s">
        <v>117</v>
      </c>
      <c r="F248" t="s">
        <v>118</v>
      </c>
      <c r="G248" t="s">
        <v>19</v>
      </c>
      <c r="H248">
        <v>1</v>
      </c>
      <c r="I248">
        <v>89.99</v>
      </c>
      <c r="J248" t="s">
        <v>57</v>
      </c>
      <c r="K248" t="s">
        <v>63</v>
      </c>
      <c r="L248" t="s">
        <v>22</v>
      </c>
      <c r="M248" s="3">
        <v>45346</v>
      </c>
      <c r="N248">
        <v>89.99</v>
      </c>
    </row>
    <row r="249" spans="1:14"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row>
    <row r="250" spans="1:14" x14ac:dyDescent="0.3">
      <c r="A250" t="s">
        <v>397</v>
      </c>
      <c r="B250" s="3">
        <v>45758</v>
      </c>
      <c r="C250" t="s">
        <v>226</v>
      </c>
      <c r="D250" t="s">
        <v>227</v>
      </c>
      <c r="E250" t="s">
        <v>117</v>
      </c>
      <c r="F250" t="s">
        <v>118</v>
      </c>
      <c r="G250" t="s">
        <v>19</v>
      </c>
      <c r="H250">
        <v>2</v>
      </c>
      <c r="I250">
        <v>89.99</v>
      </c>
      <c r="J250" t="s">
        <v>57</v>
      </c>
      <c r="K250" t="s">
        <v>63</v>
      </c>
      <c r="L250" t="s">
        <v>22</v>
      </c>
      <c r="M250" s="3">
        <v>45088</v>
      </c>
      <c r="N250">
        <v>179.98</v>
      </c>
    </row>
    <row r="251" spans="1:14"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row>
  </sheetData>
  <conditionalFormatting sqref="H2:H251">
    <cfRule type="iconSet" priority="3">
      <iconSet>
        <cfvo type="percent" val="0"/>
        <cfvo type="percent" val="33"/>
        <cfvo type="percent" val="67"/>
      </iconSet>
    </cfRule>
  </conditionalFormatting>
  <conditionalFormatting sqref="N2:N251">
    <cfRule type="iconSet" priority="2">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0CD9CF2C-5B33-4FE6-82C9-243A48D1359A}">
            <x14:iconSet iconSet="3Stars">
              <x14:cfvo type="percent">
                <xm:f>0</xm:f>
              </x14:cfvo>
              <x14:cfvo type="percent">
                <xm:f>33</xm:f>
              </x14:cfvo>
              <x14:cfvo type="percent">
                <xm:f>67</xm:f>
              </x14:cfvo>
            </x14:iconSet>
          </x14:cfRule>
          <xm:sqref>L2:L251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8796-96C2-4556-A23D-D1D561A46A1E}">
  <dimension ref="A1:Z1000"/>
  <sheetViews>
    <sheetView workbookViewId="0">
      <selection activeCell="P10" sqref="P10"/>
    </sheetView>
  </sheetViews>
  <sheetFormatPr defaultRowHeight="14.4" x14ac:dyDescent="0.3"/>
  <cols>
    <col min="2" max="2" width="10.33203125" bestFit="1" customWidth="1"/>
    <col min="13" max="13" width="10.33203125" bestFit="1" customWidth="1"/>
    <col min="16" max="16" width="15.44140625" bestFit="1" customWidth="1"/>
  </cols>
  <sheetData>
    <row r="1" spans="1:26" ht="43.8"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1"/>
      <c r="P1" s="1"/>
      <c r="Q1" s="1"/>
      <c r="R1" s="1"/>
      <c r="S1" s="1"/>
      <c r="T1" s="1"/>
      <c r="U1" s="1"/>
      <c r="V1" s="1"/>
      <c r="W1" s="1"/>
      <c r="X1" s="1"/>
      <c r="Y1" s="1"/>
      <c r="Z1" s="1"/>
    </row>
    <row r="2" spans="1:26" ht="29.4" thickBot="1" x14ac:dyDescent="0.35">
      <c r="A2" s="1" t="s">
        <v>14</v>
      </c>
      <c r="B2" s="4">
        <v>45393</v>
      </c>
      <c r="C2" s="1" t="s">
        <v>15</v>
      </c>
      <c r="D2" s="1" t="s">
        <v>16</v>
      </c>
      <c r="E2" s="1" t="s">
        <v>17</v>
      </c>
      <c r="F2" s="1" t="s">
        <v>18</v>
      </c>
      <c r="G2" s="1" t="s">
        <v>19</v>
      </c>
      <c r="H2" s="5">
        <v>3</v>
      </c>
      <c r="I2" s="5">
        <v>249.99</v>
      </c>
      <c r="J2" s="1" t="s">
        <v>20</v>
      </c>
      <c r="K2" s="1" t="s">
        <v>21</v>
      </c>
      <c r="L2" s="1" t="s">
        <v>22</v>
      </c>
      <c r="M2" s="4">
        <v>44425</v>
      </c>
      <c r="N2" s="5">
        <v>749.97</v>
      </c>
      <c r="O2" s="1"/>
      <c r="P2" s="11" t="s">
        <v>402</v>
      </c>
      <c r="Q2" s="1"/>
      <c r="R2" s="1"/>
      <c r="S2" s="1"/>
      <c r="T2" s="1"/>
      <c r="U2" s="1"/>
      <c r="V2" s="1"/>
      <c r="W2" s="1"/>
      <c r="X2" s="1"/>
      <c r="Y2" s="1"/>
      <c r="Z2" s="1"/>
    </row>
    <row r="3" spans="1:26" ht="29.4" thickBot="1" x14ac:dyDescent="0.35">
      <c r="A3" s="1" t="s">
        <v>23</v>
      </c>
      <c r="B3" s="4">
        <v>45396</v>
      </c>
      <c r="C3" s="1" t="s">
        <v>24</v>
      </c>
      <c r="D3" s="1" t="s">
        <v>25</v>
      </c>
      <c r="E3" s="1" t="s">
        <v>17</v>
      </c>
      <c r="F3" s="1" t="s">
        <v>18</v>
      </c>
      <c r="G3" s="1" t="s">
        <v>19</v>
      </c>
      <c r="H3" s="5">
        <v>3</v>
      </c>
      <c r="I3" s="5">
        <v>249.99</v>
      </c>
      <c r="J3" s="1" t="s">
        <v>26</v>
      </c>
      <c r="K3" s="1" t="s">
        <v>21</v>
      </c>
      <c r="L3" s="1" t="s">
        <v>27</v>
      </c>
      <c r="M3" s="4">
        <v>44575</v>
      </c>
      <c r="N3" s="5">
        <v>749.97</v>
      </c>
      <c r="O3" s="1"/>
      <c r="P3" s="12">
        <f ca="1">NOW()</f>
        <v>46061.914251388887</v>
      </c>
      <c r="Q3" s="1"/>
      <c r="R3" s="1"/>
      <c r="S3" s="1"/>
      <c r="T3" s="1"/>
      <c r="U3" s="1"/>
      <c r="V3" s="1"/>
      <c r="W3" s="1"/>
      <c r="X3" s="1"/>
      <c r="Y3" s="1"/>
      <c r="Z3" s="1"/>
    </row>
    <row r="4" spans="1:26" ht="29.4" thickBot="1" x14ac:dyDescent="0.35">
      <c r="A4" s="1" t="s">
        <v>28</v>
      </c>
      <c r="B4" s="4">
        <v>45399</v>
      </c>
      <c r="C4" s="1" t="s">
        <v>29</v>
      </c>
      <c r="D4" s="1" t="s">
        <v>30</v>
      </c>
      <c r="E4" s="1" t="s">
        <v>31</v>
      </c>
      <c r="F4" s="1" t="s">
        <v>32</v>
      </c>
      <c r="G4" s="1" t="s">
        <v>33</v>
      </c>
      <c r="H4" s="5">
        <v>3</v>
      </c>
      <c r="I4" s="5">
        <v>59.99</v>
      </c>
      <c r="J4" s="1" t="s">
        <v>34</v>
      </c>
      <c r="K4" s="1" t="s">
        <v>35</v>
      </c>
      <c r="L4" s="1" t="s">
        <v>36</v>
      </c>
      <c r="M4" s="4">
        <v>45262</v>
      </c>
      <c r="N4" s="5">
        <v>179.97</v>
      </c>
      <c r="O4" s="1"/>
      <c r="P4" s="1"/>
      <c r="Q4" s="1"/>
      <c r="R4" s="1"/>
      <c r="S4" s="1"/>
      <c r="T4" s="1"/>
      <c r="U4" s="1"/>
      <c r="V4" s="1"/>
      <c r="W4" s="1"/>
      <c r="X4" s="1"/>
      <c r="Y4" s="1"/>
      <c r="Z4" s="1"/>
    </row>
    <row r="5" spans="1:26" ht="29.4" thickBot="1" x14ac:dyDescent="0.35">
      <c r="A5" s="1" t="s">
        <v>37</v>
      </c>
      <c r="B5" s="4">
        <v>45400</v>
      </c>
      <c r="C5" s="1" t="s">
        <v>38</v>
      </c>
      <c r="D5" s="1" t="s">
        <v>39</v>
      </c>
      <c r="E5" s="1" t="s">
        <v>31</v>
      </c>
      <c r="F5" s="1" t="s">
        <v>32</v>
      </c>
      <c r="G5" s="1" t="s">
        <v>33</v>
      </c>
      <c r="H5" s="5">
        <v>3</v>
      </c>
      <c r="I5" s="5">
        <v>59.99</v>
      </c>
      <c r="J5" s="1" t="s">
        <v>20</v>
      </c>
      <c r="K5" s="1" t="s">
        <v>40</v>
      </c>
      <c r="L5" s="1" t="s">
        <v>27</v>
      </c>
      <c r="M5" s="4">
        <v>45114</v>
      </c>
      <c r="N5" s="5">
        <v>179.97</v>
      </c>
      <c r="O5" s="1"/>
      <c r="P5" s="1"/>
      <c r="Q5" s="1"/>
      <c r="R5" s="1"/>
      <c r="S5" s="1"/>
      <c r="T5" s="1"/>
      <c r="U5" s="1"/>
      <c r="V5" s="1"/>
      <c r="W5" s="1"/>
      <c r="X5" s="1"/>
      <c r="Y5" s="1"/>
      <c r="Z5" s="1"/>
    </row>
    <row r="6" spans="1:26" ht="29.4" thickBot="1" x14ac:dyDescent="0.35">
      <c r="A6" s="1" t="s">
        <v>41</v>
      </c>
      <c r="B6" s="4">
        <v>45400</v>
      </c>
      <c r="C6" s="1" t="s">
        <v>42</v>
      </c>
      <c r="D6" s="1" t="s">
        <v>43</v>
      </c>
      <c r="E6" s="1" t="s">
        <v>44</v>
      </c>
      <c r="F6" s="1" t="s">
        <v>45</v>
      </c>
      <c r="G6" s="1" t="s">
        <v>46</v>
      </c>
      <c r="H6" s="5">
        <v>5</v>
      </c>
      <c r="I6" s="5">
        <v>149.99</v>
      </c>
      <c r="J6" s="1" t="s">
        <v>26</v>
      </c>
      <c r="K6" s="1" t="s">
        <v>40</v>
      </c>
      <c r="L6" s="1" t="s">
        <v>27</v>
      </c>
      <c r="M6" s="4">
        <v>45295</v>
      </c>
      <c r="N6" s="5">
        <v>749.95</v>
      </c>
      <c r="O6" s="1"/>
      <c r="P6" s="1"/>
      <c r="Q6" s="1"/>
      <c r="R6" s="1"/>
      <c r="S6" s="1"/>
      <c r="T6" s="1"/>
      <c r="U6" s="1"/>
      <c r="V6" s="1"/>
      <c r="W6" s="1"/>
      <c r="X6" s="1"/>
      <c r="Y6" s="1"/>
      <c r="Z6" s="1"/>
    </row>
    <row r="7" spans="1:26" ht="29.4" thickBot="1" x14ac:dyDescent="0.35">
      <c r="A7" s="1" t="s">
        <v>47</v>
      </c>
      <c r="B7" s="4">
        <v>45403</v>
      </c>
      <c r="C7" s="1" t="s">
        <v>48</v>
      </c>
      <c r="D7" s="1" t="s">
        <v>49</v>
      </c>
      <c r="E7" s="1" t="s">
        <v>31</v>
      </c>
      <c r="F7" s="1" t="s">
        <v>32</v>
      </c>
      <c r="G7" s="1" t="s">
        <v>33</v>
      </c>
      <c r="H7" s="5">
        <v>2</v>
      </c>
      <c r="I7" s="5">
        <v>59.99</v>
      </c>
      <c r="J7" s="1" t="s">
        <v>20</v>
      </c>
      <c r="K7" s="1" t="s">
        <v>50</v>
      </c>
      <c r="L7" s="1" t="s">
        <v>36</v>
      </c>
      <c r="M7" s="4">
        <v>44746</v>
      </c>
      <c r="N7" s="5">
        <v>119.98</v>
      </c>
      <c r="O7" s="1"/>
      <c r="P7" s="1"/>
      <c r="Q7" s="1"/>
      <c r="R7" s="1"/>
      <c r="S7" s="1"/>
      <c r="T7" s="1"/>
      <c r="U7" s="1"/>
      <c r="V7" s="1"/>
      <c r="W7" s="1"/>
      <c r="X7" s="1"/>
      <c r="Y7" s="1"/>
      <c r="Z7" s="1"/>
    </row>
    <row r="8" spans="1:26" ht="29.4" thickBot="1" x14ac:dyDescent="0.35">
      <c r="A8" s="1" t="s">
        <v>51</v>
      </c>
      <c r="B8" s="4">
        <v>45403</v>
      </c>
      <c r="C8" s="1" t="s">
        <v>48</v>
      </c>
      <c r="D8" s="1" t="s">
        <v>49</v>
      </c>
      <c r="E8" s="1" t="s">
        <v>52</v>
      </c>
      <c r="F8" s="1" t="s">
        <v>53</v>
      </c>
      <c r="G8" s="1" t="s">
        <v>19</v>
      </c>
      <c r="H8" s="5">
        <v>5</v>
      </c>
      <c r="I8" s="5">
        <v>149.99</v>
      </c>
      <c r="J8" s="1" t="s">
        <v>26</v>
      </c>
      <c r="K8" s="1" t="s">
        <v>21</v>
      </c>
      <c r="L8" s="1" t="s">
        <v>36</v>
      </c>
      <c r="M8" s="4">
        <v>44418</v>
      </c>
      <c r="N8" s="5">
        <v>749.95</v>
      </c>
      <c r="O8" s="1"/>
      <c r="P8" s="1"/>
      <c r="Q8" s="1"/>
      <c r="R8" s="1"/>
      <c r="S8" s="1"/>
      <c r="T8" s="1"/>
      <c r="U8" s="1"/>
      <c r="V8" s="1"/>
      <c r="W8" s="1"/>
      <c r="X8" s="1"/>
      <c r="Y8" s="1"/>
      <c r="Z8" s="1"/>
    </row>
    <row r="9" spans="1:26" ht="29.4" thickBot="1" x14ac:dyDescent="0.35">
      <c r="A9" s="1" t="s">
        <v>54</v>
      </c>
      <c r="B9" s="4">
        <v>45403</v>
      </c>
      <c r="C9" s="1" t="s">
        <v>55</v>
      </c>
      <c r="D9" s="1" t="s">
        <v>56</v>
      </c>
      <c r="E9" s="1" t="s">
        <v>31</v>
      </c>
      <c r="F9" s="1" t="s">
        <v>32</v>
      </c>
      <c r="G9" s="1" t="s">
        <v>33</v>
      </c>
      <c r="H9" s="5">
        <v>3</v>
      </c>
      <c r="I9" s="5">
        <v>59.99</v>
      </c>
      <c r="J9" s="1" t="s">
        <v>57</v>
      </c>
      <c r="K9" s="1" t="s">
        <v>35</v>
      </c>
      <c r="L9" s="1" t="s">
        <v>22</v>
      </c>
      <c r="M9" s="4">
        <v>45007</v>
      </c>
      <c r="N9" s="5">
        <v>179.97</v>
      </c>
      <c r="O9" s="1"/>
      <c r="P9" s="1"/>
      <c r="Q9" s="1"/>
      <c r="R9" s="1"/>
      <c r="S9" s="1"/>
      <c r="T9" s="1"/>
      <c r="U9" s="1"/>
      <c r="V9" s="1"/>
      <c r="W9" s="1"/>
      <c r="X9" s="1"/>
      <c r="Y9" s="1"/>
      <c r="Z9" s="1"/>
    </row>
    <row r="10" spans="1:26" ht="29.4" thickBot="1" x14ac:dyDescent="0.35">
      <c r="A10" s="1" t="s">
        <v>58</v>
      </c>
      <c r="B10" s="4">
        <v>45405</v>
      </c>
      <c r="C10" s="1" t="s">
        <v>59</v>
      </c>
      <c r="D10" s="1" t="s">
        <v>60</v>
      </c>
      <c r="E10" s="1" t="s">
        <v>61</v>
      </c>
      <c r="F10" s="1" t="s">
        <v>62</v>
      </c>
      <c r="G10" s="1" t="s">
        <v>19</v>
      </c>
      <c r="H10" s="5">
        <v>3</v>
      </c>
      <c r="I10" s="5">
        <v>899.99</v>
      </c>
      <c r="J10" s="1" t="s">
        <v>34</v>
      </c>
      <c r="K10" s="1" t="s">
        <v>63</v>
      </c>
      <c r="L10" s="1" t="s">
        <v>36</v>
      </c>
      <c r="M10" s="4">
        <v>45299</v>
      </c>
      <c r="N10" s="5">
        <v>2699.97</v>
      </c>
      <c r="O10" s="1"/>
      <c r="P10" s="1"/>
      <c r="Q10" s="1"/>
      <c r="R10" s="1"/>
      <c r="S10" s="1"/>
      <c r="T10" s="1"/>
      <c r="U10" s="1"/>
      <c r="V10" s="1"/>
      <c r="W10" s="1"/>
      <c r="X10" s="1"/>
      <c r="Y10" s="1"/>
      <c r="Z10" s="1"/>
    </row>
    <row r="11" spans="1:26" ht="29.4" thickBot="1" x14ac:dyDescent="0.35">
      <c r="A11" s="1" t="s">
        <v>64</v>
      </c>
      <c r="B11" s="4">
        <v>45408</v>
      </c>
      <c r="C11" s="1" t="s">
        <v>65</v>
      </c>
      <c r="D11" s="1" t="s">
        <v>66</v>
      </c>
      <c r="E11" s="1" t="s">
        <v>31</v>
      </c>
      <c r="F11" s="1" t="s">
        <v>32</v>
      </c>
      <c r="G11" s="1" t="s">
        <v>33</v>
      </c>
      <c r="H11" s="5">
        <v>3</v>
      </c>
      <c r="I11" s="5">
        <v>59.99</v>
      </c>
      <c r="J11" s="1" t="s">
        <v>20</v>
      </c>
      <c r="K11" s="1" t="s">
        <v>50</v>
      </c>
      <c r="L11" s="1" t="s">
        <v>27</v>
      </c>
      <c r="M11" s="4">
        <v>45207</v>
      </c>
      <c r="N11" s="5">
        <v>179.97</v>
      </c>
      <c r="O11" s="1"/>
      <c r="P11" s="1"/>
      <c r="Q11" s="1"/>
      <c r="R11" s="1"/>
      <c r="S11" s="1"/>
      <c r="T11" s="1"/>
      <c r="U11" s="1"/>
      <c r="V11" s="1"/>
      <c r="W11" s="1"/>
      <c r="X11" s="1"/>
      <c r="Y11" s="1"/>
      <c r="Z11" s="1"/>
    </row>
    <row r="12" spans="1:26" ht="29.4" thickBot="1" x14ac:dyDescent="0.35">
      <c r="A12" s="1" t="s">
        <v>67</v>
      </c>
      <c r="B12" s="4">
        <v>45408</v>
      </c>
      <c r="C12" s="1" t="s">
        <v>68</v>
      </c>
      <c r="D12" s="1" t="s">
        <v>69</v>
      </c>
      <c r="E12" s="1" t="s">
        <v>44</v>
      </c>
      <c r="F12" s="1" t="s">
        <v>45</v>
      </c>
      <c r="G12" s="1" t="s">
        <v>46</v>
      </c>
      <c r="H12" s="5">
        <v>1</v>
      </c>
      <c r="I12" s="5">
        <v>149.99</v>
      </c>
      <c r="J12" s="1" t="s">
        <v>26</v>
      </c>
      <c r="K12" s="1" t="s">
        <v>50</v>
      </c>
      <c r="L12" s="1" t="s">
        <v>36</v>
      </c>
      <c r="M12" s="4">
        <v>45103</v>
      </c>
      <c r="N12" s="5">
        <v>149.99</v>
      </c>
      <c r="O12" s="1"/>
      <c r="P12" s="1"/>
      <c r="Q12" s="1"/>
      <c r="R12" s="1"/>
      <c r="S12" s="1"/>
      <c r="T12" s="1"/>
      <c r="U12" s="1"/>
      <c r="V12" s="1"/>
      <c r="W12" s="1"/>
      <c r="X12" s="1"/>
      <c r="Y12" s="1"/>
      <c r="Z12" s="1"/>
    </row>
    <row r="13" spans="1:26" ht="29.4" thickBot="1" x14ac:dyDescent="0.35">
      <c r="A13" s="1" t="s">
        <v>70</v>
      </c>
      <c r="B13" s="4">
        <v>45408</v>
      </c>
      <c r="C13" s="1" t="s">
        <v>38</v>
      </c>
      <c r="D13" s="1" t="s">
        <v>39</v>
      </c>
      <c r="E13" s="1" t="s">
        <v>44</v>
      </c>
      <c r="F13" s="1" t="s">
        <v>45</v>
      </c>
      <c r="G13" s="1" t="s">
        <v>46</v>
      </c>
      <c r="H13" s="5">
        <v>5</v>
      </c>
      <c r="I13" s="5">
        <v>149.99</v>
      </c>
      <c r="J13" s="1" t="s">
        <v>57</v>
      </c>
      <c r="K13" s="1" t="s">
        <v>40</v>
      </c>
      <c r="L13" s="1" t="s">
        <v>22</v>
      </c>
      <c r="M13" s="4">
        <v>44830</v>
      </c>
      <c r="N13" s="5">
        <v>749.95</v>
      </c>
      <c r="O13" s="1"/>
      <c r="P13" s="1"/>
      <c r="Q13" s="1"/>
      <c r="R13" s="1"/>
      <c r="S13" s="1"/>
      <c r="T13" s="1"/>
      <c r="U13" s="1"/>
      <c r="V13" s="1"/>
      <c r="W13" s="1"/>
      <c r="X13" s="1"/>
      <c r="Y13" s="1"/>
      <c r="Z13" s="1"/>
    </row>
    <row r="14" spans="1:26" ht="43.8" thickBot="1" x14ac:dyDescent="0.35">
      <c r="A14" s="1" t="s">
        <v>71</v>
      </c>
      <c r="B14" s="4">
        <v>45408</v>
      </c>
      <c r="C14" s="1" t="s">
        <v>72</v>
      </c>
      <c r="D14" s="1" t="s">
        <v>73</v>
      </c>
      <c r="E14" s="1" t="s">
        <v>44</v>
      </c>
      <c r="F14" s="1" t="s">
        <v>45</v>
      </c>
      <c r="G14" s="1" t="s">
        <v>46</v>
      </c>
      <c r="H14" s="5">
        <v>3</v>
      </c>
      <c r="I14" s="5">
        <v>149.99</v>
      </c>
      <c r="J14" s="1" t="s">
        <v>20</v>
      </c>
      <c r="K14" s="1" t="s">
        <v>40</v>
      </c>
      <c r="L14" s="1" t="s">
        <v>27</v>
      </c>
      <c r="M14" s="4">
        <v>44806</v>
      </c>
      <c r="N14" s="5">
        <v>449.97</v>
      </c>
      <c r="O14" s="1"/>
      <c r="P14" s="1"/>
      <c r="Q14" s="1"/>
      <c r="R14" s="1"/>
      <c r="S14" s="1"/>
      <c r="T14" s="1"/>
      <c r="U14" s="1"/>
      <c r="V14" s="1"/>
      <c r="W14" s="1"/>
      <c r="X14" s="1"/>
      <c r="Y14" s="1"/>
      <c r="Z14" s="1"/>
    </row>
    <row r="15" spans="1:26" ht="29.4" thickBot="1" x14ac:dyDescent="0.35">
      <c r="A15" s="1" t="s">
        <v>74</v>
      </c>
      <c r="B15" s="4">
        <v>45409</v>
      </c>
      <c r="C15" s="1" t="s">
        <v>75</v>
      </c>
      <c r="D15" s="1" t="s">
        <v>76</v>
      </c>
      <c r="E15" s="1" t="s">
        <v>31</v>
      </c>
      <c r="F15" s="1" t="s">
        <v>32</v>
      </c>
      <c r="G15" s="1" t="s">
        <v>33</v>
      </c>
      <c r="H15" s="5">
        <v>3</v>
      </c>
      <c r="I15" s="5">
        <v>59.99</v>
      </c>
      <c r="J15" s="1" t="s">
        <v>26</v>
      </c>
      <c r="K15" s="1" t="s">
        <v>40</v>
      </c>
      <c r="L15" s="1" t="s">
        <v>36</v>
      </c>
      <c r="M15" s="4">
        <v>45351</v>
      </c>
      <c r="N15" s="5">
        <v>179.97</v>
      </c>
      <c r="O15" s="1"/>
      <c r="P15" s="1"/>
      <c r="Q15" s="1"/>
      <c r="R15" s="1"/>
      <c r="S15" s="1"/>
      <c r="T15" s="1"/>
      <c r="U15" s="1"/>
      <c r="V15" s="1"/>
      <c r="W15" s="1"/>
      <c r="X15" s="1"/>
      <c r="Y15" s="1"/>
      <c r="Z15" s="1"/>
    </row>
    <row r="16" spans="1:26" ht="29.4" thickBot="1" x14ac:dyDescent="0.35">
      <c r="A16" s="1" t="s">
        <v>77</v>
      </c>
      <c r="B16" s="4">
        <v>45409</v>
      </c>
      <c r="C16" s="1" t="s">
        <v>78</v>
      </c>
      <c r="D16" s="1" t="s">
        <v>79</v>
      </c>
      <c r="E16" s="1" t="s">
        <v>80</v>
      </c>
      <c r="F16" s="1" t="s">
        <v>81</v>
      </c>
      <c r="G16" s="1" t="s">
        <v>19</v>
      </c>
      <c r="H16" s="5">
        <v>3</v>
      </c>
      <c r="I16" s="5">
        <v>699.99</v>
      </c>
      <c r="J16" s="1" t="s">
        <v>26</v>
      </c>
      <c r="K16" s="1" t="s">
        <v>50</v>
      </c>
      <c r="L16" s="1" t="s">
        <v>22</v>
      </c>
      <c r="M16" s="4">
        <v>44577</v>
      </c>
      <c r="N16" s="5">
        <v>2099.9699999999998</v>
      </c>
      <c r="O16" s="1"/>
      <c r="P16" s="1"/>
      <c r="Q16" s="1"/>
      <c r="R16" s="1"/>
      <c r="S16" s="1"/>
      <c r="T16" s="1"/>
      <c r="U16" s="1"/>
      <c r="V16" s="1"/>
      <c r="W16" s="1"/>
      <c r="X16" s="1"/>
      <c r="Y16" s="1"/>
      <c r="Z16" s="1"/>
    </row>
    <row r="17" spans="1:26" ht="29.4" thickBot="1" x14ac:dyDescent="0.35">
      <c r="A17" s="1" t="s">
        <v>82</v>
      </c>
      <c r="B17" s="4">
        <v>45409</v>
      </c>
      <c r="C17" s="1" t="s">
        <v>83</v>
      </c>
      <c r="D17" s="1" t="s">
        <v>84</v>
      </c>
      <c r="E17" s="1" t="s">
        <v>61</v>
      </c>
      <c r="F17" s="1" t="s">
        <v>62</v>
      </c>
      <c r="G17" s="1" t="s">
        <v>19</v>
      </c>
      <c r="H17" s="5">
        <v>1</v>
      </c>
      <c r="I17" s="5">
        <v>899.99</v>
      </c>
      <c r="J17" s="1" t="s">
        <v>57</v>
      </c>
      <c r="K17" s="1" t="s">
        <v>40</v>
      </c>
      <c r="L17" s="1" t="s">
        <v>36</v>
      </c>
      <c r="M17" s="4">
        <v>44920</v>
      </c>
      <c r="N17" s="5">
        <v>899.99</v>
      </c>
      <c r="O17" s="1"/>
      <c r="P17" s="1"/>
      <c r="Q17" s="1"/>
      <c r="R17" s="1"/>
      <c r="S17" s="1"/>
      <c r="T17" s="1"/>
      <c r="U17" s="1"/>
      <c r="V17" s="1"/>
      <c r="W17" s="1"/>
      <c r="X17" s="1"/>
      <c r="Y17" s="1"/>
      <c r="Z17" s="1"/>
    </row>
    <row r="18" spans="1:26" ht="29.4" thickBot="1" x14ac:dyDescent="0.35">
      <c r="A18" s="1" t="s">
        <v>85</v>
      </c>
      <c r="B18" s="4">
        <v>45410</v>
      </c>
      <c r="C18" s="1" t="s">
        <v>86</v>
      </c>
      <c r="D18" s="1" t="s">
        <v>87</v>
      </c>
      <c r="E18" s="1" t="s">
        <v>44</v>
      </c>
      <c r="F18" s="1" t="s">
        <v>45</v>
      </c>
      <c r="G18" s="1" t="s">
        <v>46</v>
      </c>
      <c r="H18" s="5">
        <v>4</v>
      </c>
      <c r="I18" s="5">
        <v>149.99</v>
      </c>
      <c r="J18" s="1" t="s">
        <v>57</v>
      </c>
      <c r="K18" s="1" t="s">
        <v>40</v>
      </c>
      <c r="L18" s="1" t="s">
        <v>27</v>
      </c>
      <c r="M18" s="4">
        <v>45374</v>
      </c>
      <c r="N18" s="5">
        <v>599.96</v>
      </c>
      <c r="O18" s="1"/>
      <c r="P18" s="1"/>
      <c r="Q18" s="1"/>
      <c r="R18" s="1"/>
      <c r="S18" s="1"/>
      <c r="T18" s="1"/>
      <c r="U18" s="1"/>
      <c r="V18" s="1"/>
      <c r="W18" s="1"/>
      <c r="X18" s="1"/>
      <c r="Y18" s="1"/>
      <c r="Z18" s="1"/>
    </row>
    <row r="19" spans="1:26" ht="29.4" thickBot="1" x14ac:dyDescent="0.35">
      <c r="A19" s="1" t="s">
        <v>88</v>
      </c>
      <c r="B19" s="4">
        <v>45410</v>
      </c>
      <c r="C19" s="1" t="s">
        <v>89</v>
      </c>
      <c r="D19" s="1" t="s">
        <v>90</v>
      </c>
      <c r="E19" s="1" t="s">
        <v>80</v>
      </c>
      <c r="F19" s="1" t="s">
        <v>81</v>
      </c>
      <c r="G19" s="1" t="s">
        <v>19</v>
      </c>
      <c r="H19" s="5">
        <v>2</v>
      </c>
      <c r="I19" s="5">
        <v>699.99</v>
      </c>
      <c r="J19" s="1" t="s">
        <v>20</v>
      </c>
      <c r="K19" s="1" t="s">
        <v>40</v>
      </c>
      <c r="L19" s="1" t="s">
        <v>22</v>
      </c>
      <c r="M19" s="4">
        <v>44781</v>
      </c>
      <c r="N19" s="5">
        <v>1399.98</v>
      </c>
      <c r="O19" s="1"/>
      <c r="P19" s="1"/>
      <c r="Q19" s="1"/>
      <c r="R19" s="1"/>
      <c r="S19" s="1"/>
      <c r="T19" s="1"/>
      <c r="U19" s="1"/>
      <c r="V19" s="1"/>
      <c r="W19" s="1"/>
      <c r="X19" s="1"/>
      <c r="Y19" s="1"/>
      <c r="Z19" s="1"/>
    </row>
    <row r="20" spans="1:26" ht="29.4" thickBot="1" x14ac:dyDescent="0.35">
      <c r="A20" s="1" t="s">
        <v>91</v>
      </c>
      <c r="B20" s="4">
        <v>45410</v>
      </c>
      <c r="C20" s="1" t="s">
        <v>86</v>
      </c>
      <c r="D20" s="1" t="s">
        <v>87</v>
      </c>
      <c r="E20" s="1" t="s">
        <v>61</v>
      </c>
      <c r="F20" s="1" t="s">
        <v>62</v>
      </c>
      <c r="G20" s="1" t="s">
        <v>19</v>
      </c>
      <c r="H20" s="5">
        <v>4</v>
      </c>
      <c r="I20" s="5">
        <v>899.99</v>
      </c>
      <c r="J20" s="1" t="s">
        <v>26</v>
      </c>
      <c r="K20" s="1" t="s">
        <v>50</v>
      </c>
      <c r="L20" s="1" t="s">
        <v>36</v>
      </c>
      <c r="M20" s="4">
        <v>45327</v>
      </c>
      <c r="N20" s="5">
        <v>3599.96</v>
      </c>
      <c r="O20" s="1"/>
      <c r="P20" s="1"/>
      <c r="Q20" s="1"/>
      <c r="R20" s="1"/>
      <c r="S20" s="1"/>
      <c r="T20" s="1"/>
      <c r="U20" s="1"/>
      <c r="V20" s="1"/>
      <c r="W20" s="1"/>
      <c r="X20" s="1"/>
      <c r="Y20" s="1"/>
      <c r="Z20" s="1"/>
    </row>
    <row r="21" spans="1:26" ht="29.4" thickBot="1" x14ac:dyDescent="0.35">
      <c r="A21" s="1" t="s">
        <v>92</v>
      </c>
      <c r="B21" s="4">
        <v>45410</v>
      </c>
      <c r="C21" s="1" t="s">
        <v>93</v>
      </c>
      <c r="D21" s="1" t="s">
        <v>94</v>
      </c>
      <c r="E21" s="1" t="s">
        <v>17</v>
      </c>
      <c r="F21" s="1" t="s">
        <v>18</v>
      </c>
      <c r="G21" s="1" t="s">
        <v>19</v>
      </c>
      <c r="H21" s="5">
        <v>3</v>
      </c>
      <c r="I21" s="5">
        <v>249.99</v>
      </c>
      <c r="J21" s="1" t="s">
        <v>26</v>
      </c>
      <c r="K21" s="1" t="s">
        <v>40</v>
      </c>
      <c r="L21" s="1" t="s">
        <v>27</v>
      </c>
      <c r="M21" s="4">
        <v>45224</v>
      </c>
      <c r="N21" s="5">
        <v>749.97</v>
      </c>
      <c r="O21" s="1"/>
      <c r="P21" s="1"/>
      <c r="Q21" s="1"/>
      <c r="R21" s="1"/>
      <c r="S21" s="1"/>
      <c r="T21" s="1"/>
      <c r="U21" s="1"/>
      <c r="V21" s="1"/>
      <c r="W21" s="1"/>
      <c r="X21" s="1"/>
      <c r="Y21" s="1"/>
      <c r="Z21" s="1"/>
    </row>
    <row r="22" spans="1:26" ht="29.4" thickBot="1" x14ac:dyDescent="0.35">
      <c r="A22" s="1" t="s">
        <v>95</v>
      </c>
      <c r="B22" s="4">
        <v>45412</v>
      </c>
      <c r="C22" s="1" t="s">
        <v>96</v>
      </c>
      <c r="D22" s="1" t="s">
        <v>97</v>
      </c>
      <c r="E22" s="1" t="s">
        <v>80</v>
      </c>
      <c r="F22" s="1" t="s">
        <v>81</v>
      </c>
      <c r="G22" s="1" t="s">
        <v>19</v>
      </c>
      <c r="H22" s="5">
        <v>5</v>
      </c>
      <c r="I22" s="5">
        <v>699.99</v>
      </c>
      <c r="J22" s="1" t="s">
        <v>20</v>
      </c>
      <c r="K22" s="1" t="s">
        <v>50</v>
      </c>
      <c r="L22" s="1" t="s">
        <v>22</v>
      </c>
      <c r="M22" s="4">
        <v>45167</v>
      </c>
      <c r="N22" s="5">
        <v>3499.95</v>
      </c>
      <c r="O22" s="1"/>
      <c r="P22" s="1"/>
      <c r="Q22" s="1"/>
      <c r="R22" s="1"/>
      <c r="S22" s="1"/>
      <c r="T22" s="1"/>
      <c r="U22" s="1"/>
      <c r="V22" s="1"/>
      <c r="W22" s="1"/>
      <c r="X22" s="1"/>
      <c r="Y22" s="1"/>
      <c r="Z22" s="1"/>
    </row>
    <row r="23" spans="1:26" ht="29.4" thickBot="1" x14ac:dyDescent="0.35">
      <c r="A23" s="1" t="s">
        <v>98</v>
      </c>
      <c r="B23" s="4">
        <v>45413</v>
      </c>
      <c r="C23" s="1" t="s">
        <v>99</v>
      </c>
      <c r="D23" s="1" t="s">
        <v>100</v>
      </c>
      <c r="E23" s="1" t="s">
        <v>80</v>
      </c>
      <c r="F23" s="1" t="s">
        <v>81</v>
      </c>
      <c r="G23" s="1" t="s">
        <v>19</v>
      </c>
      <c r="H23" s="5">
        <v>4</v>
      </c>
      <c r="I23" s="5">
        <v>699.99</v>
      </c>
      <c r="J23" s="1" t="s">
        <v>20</v>
      </c>
      <c r="K23" s="1" t="s">
        <v>63</v>
      </c>
      <c r="L23" s="1" t="s">
        <v>36</v>
      </c>
      <c r="M23" s="4">
        <v>44409</v>
      </c>
      <c r="N23" s="5">
        <v>2799.96</v>
      </c>
      <c r="O23" s="1"/>
      <c r="P23" s="1"/>
      <c r="Q23" s="1"/>
      <c r="R23" s="1"/>
      <c r="S23" s="1"/>
      <c r="T23" s="1"/>
      <c r="U23" s="1"/>
      <c r="V23" s="1"/>
      <c r="W23" s="1"/>
      <c r="X23" s="1"/>
      <c r="Y23" s="1"/>
      <c r="Z23" s="1"/>
    </row>
    <row r="24" spans="1:26" ht="29.4" thickBot="1" x14ac:dyDescent="0.35">
      <c r="A24" s="1" t="s">
        <v>101</v>
      </c>
      <c r="B24" s="4">
        <v>45415</v>
      </c>
      <c r="C24" s="1" t="s">
        <v>102</v>
      </c>
      <c r="D24" s="1" t="s">
        <v>103</v>
      </c>
      <c r="E24" s="1" t="s">
        <v>17</v>
      </c>
      <c r="F24" s="1" t="s">
        <v>18</v>
      </c>
      <c r="G24" s="1" t="s">
        <v>19</v>
      </c>
      <c r="H24" s="5">
        <v>4</v>
      </c>
      <c r="I24" s="5">
        <v>249.99</v>
      </c>
      <c r="J24" s="1" t="s">
        <v>34</v>
      </c>
      <c r="K24" s="1" t="s">
        <v>40</v>
      </c>
      <c r="L24" s="1" t="s">
        <v>36</v>
      </c>
      <c r="M24" s="4">
        <v>44468</v>
      </c>
      <c r="N24" s="5">
        <v>999.96</v>
      </c>
      <c r="O24" s="1"/>
      <c r="P24" s="1"/>
      <c r="Q24" s="1"/>
      <c r="R24" s="1"/>
      <c r="S24" s="1"/>
      <c r="T24" s="1"/>
      <c r="U24" s="1"/>
      <c r="V24" s="1"/>
      <c r="W24" s="1"/>
      <c r="X24" s="1"/>
      <c r="Y24" s="1"/>
      <c r="Z24" s="1"/>
    </row>
    <row r="25" spans="1:26" ht="29.4" thickBot="1" x14ac:dyDescent="0.35">
      <c r="A25" s="1" t="s">
        <v>104</v>
      </c>
      <c r="B25" s="4">
        <v>45416</v>
      </c>
      <c r="C25" s="1" t="s">
        <v>86</v>
      </c>
      <c r="D25" s="1" t="s">
        <v>87</v>
      </c>
      <c r="E25" s="1" t="s">
        <v>105</v>
      </c>
      <c r="F25" s="1" t="s">
        <v>106</v>
      </c>
      <c r="G25" s="1" t="s">
        <v>46</v>
      </c>
      <c r="H25" s="5">
        <v>4</v>
      </c>
      <c r="I25" s="5">
        <v>299.99</v>
      </c>
      <c r="J25" s="1" t="s">
        <v>20</v>
      </c>
      <c r="K25" s="1" t="s">
        <v>50</v>
      </c>
      <c r="L25" s="1" t="s">
        <v>27</v>
      </c>
      <c r="M25" s="4">
        <v>44716</v>
      </c>
      <c r="N25" s="5">
        <v>1199.96</v>
      </c>
      <c r="O25" s="1"/>
      <c r="P25" s="1"/>
      <c r="Q25" s="1"/>
      <c r="R25" s="1"/>
      <c r="S25" s="1"/>
      <c r="T25" s="1"/>
      <c r="U25" s="1"/>
      <c r="V25" s="1"/>
      <c r="W25" s="1"/>
      <c r="X25" s="1"/>
      <c r="Y25" s="1"/>
      <c r="Z25" s="1"/>
    </row>
    <row r="26" spans="1:26" ht="29.4" thickBot="1" x14ac:dyDescent="0.35">
      <c r="A26" s="1" t="s">
        <v>107</v>
      </c>
      <c r="B26" s="4">
        <v>45422</v>
      </c>
      <c r="C26" s="1" t="s">
        <v>108</v>
      </c>
      <c r="D26" s="1" t="s">
        <v>109</v>
      </c>
      <c r="E26" s="1" t="s">
        <v>17</v>
      </c>
      <c r="F26" s="1" t="s">
        <v>18</v>
      </c>
      <c r="G26" s="1" t="s">
        <v>19</v>
      </c>
      <c r="H26" s="5">
        <v>5</v>
      </c>
      <c r="I26" s="5">
        <v>249.99</v>
      </c>
      <c r="J26" s="1" t="s">
        <v>26</v>
      </c>
      <c r="K26" s="1" t="s">
        <v>50</v>
      </c>
      <c r="L26" s="1" t="s">
        <v>36</v>
      </c>
      <c r="M26" s="4">
        <v>44525</v>
      </c>
      <c r="N26" s="5">
        <v>1249.95</v>
      </c>
      <c r="O26" s="1"/>
      <c r="P26" s="1"/>
      <c r="Q26" s="1"/>
      <c r="R26" s="1"/>
      <c r="S26" s="1"/>
      <c r="T26" s="1"/>
      <c r="U26" s="1"/>
      <c r="V26" s="1"/>
      <c r="W26" s="1"/>
      <c r="X26" s="1"/>
      <c r="Y26" s="1"/>
      <c r="Z26" s="1"/>
    </row>
    <row r="27" spans="1:26" ht="29.4" thickBot="1" x14ac:dyDescent="0.35">
      <c r="A27" s="1" t="s">
        <v>110</v>
      </c>
      <c r="B27" s="4">
        <v>45424</v>
      </c>
      <c r="C27" s="1" t="s">
        <v>68</v>
      </c>
      <c r="D27" s="1" t="s">
        <v>69</v>
      </c>
      <c r="E27" s="1" t="s">
        <v>105</v>
      </c>
      <c r="F27" s="1" t="s">
        <v>106</v>
      </c>
      <c r="G27" s="1" t="s">
        <v>46</v>
      </c>
      <c r="H27" s="5">
        <v>5</v>
      </c>
      <c r="I27" s="5">
        <v>299.99</v>
      </c>
      <c r="J27" s="1" t="s">
        <v>34</v>
      </c>
      <c r="K27" s="1" t="s">
        <v>63</v>
      </c>
      <c r="L27" s="1" t="s">
        <v>22</v>
      </c>
      <c r="M27" s="4">
        <v>45168</v>
      </c>
      <c r="N27" s="5">
        <v>1499.95</v>
      </c>
      <c r="O27" s="1"/>
      <c r="P27" s="1"/>
      <c r="Q27" s="1"/>
      <c r="R27" s="1"/>
      <c r="S27" s="1"/>
      <c r="T27" s="1"/>
      <c r="U27" s="1"/>
      <c r="V27" s="1"/>
      <c r="W27" s="1"/>
      <c r="X27" s="1"/>
      <c r="Y27" s="1"/>
      <c r="Z27" s="1"/>
    </row>
    <row r="28" spans="1:26" ht="29.4" thickBot="1" x14ac:dyDescent="0.35">
      <c r="A28" s="1" t="s">
        <v>111</v>
      </c>
      <c r="B28" s="4">
        <v>45424</v>
      </c>
      <c r="C28" s="1" t="s">
        <v>112</v>
      </c>
      <c r="D28" s="1" t="s">
        <v>113</v>
      </c>
      <c r="E28" s="1" t="s">
        <v>114</v>
      </c>
      <c r="F28" s="1" t="s">
        <v>115</v>
      </c>
      <c r="G28" s="1" t="s">
        <v>33</v>
      </c>
      <c r="H28" s="5">
        <v>3</v>
      </c>
      <c r="I28" s="5">
        <v>79.989999999999995</v>
      </c>
      <c r="J28" s="1" t="s">
        <v>34</v>
      </c>
      <c r="K28" s="1" t="s">
        <v>63</v>
      </c>
      <c r="L28" s="1" t="s">
        <v>27</v>
      </c>
      <c r="M28" s="4">
        <v>45012</v>
      </c>
      <c r="N28" s="5">
        <v>239.97</v>
      </c>
      <c r="O28" s="1"/>
      <c r="P28" s="1"/>
      <c r="Q28" s="1"/>
      <c r="R28" s="1"/>
      <c r="S28" s="1"/>
      <c r="T28" s="1"/>
      <c r="U28" s="1"/>
      <c r="V28" s="1"/>
      <c r="W28" s="1"/>
      <c r="X28" s="1"/>
      <c r="Y28" s="1"/>
      <c r="Z28" s="1"/>
    </row>
    <row r="29" spans="1:26" ht="29.4" thickBot="1" x14ac:dyDescent="0.35">
      <c r="A29" s="1" t="s">
        <v>116</v>
      </c>
      <c r="B29" s="4">
        <v>45424</v>
      </c>
      <c r="C29" s="1" t="s">
        <v>99</v>
      </c>
      <c r="D29" s="1" t="s">
        <v>100</v>
      </c>
      <c r="E29" s="1" t="s">
        <v>117</v>
      </c>
      <c r="F29" s="1" t="s">
        <v>118</v>
      </c>
      <c r="G29" s="1" t="s">
        <v>19</v>
      </c>
      <c r="H29" s="5">
        <v>5</v>
      </c>
      <c r="I29" s="5">
        <v>89.99</v>
      </c>
      <c r="J29" s="1" t="s">
        <v>20</v>
      </c>
      <c r="K29" s="1" t="s">
        <v>40</v>
      </c>
      <c r="L29" s="1" t="s">
        <v>27</v>
      </c>
      <c r="M29" s="4">
        <v>44919</v>
      </c>
      <c r="N29" s="5">
        <v>449.95</v>
      </c>
      <c r="O29" s="1"/>
      <c r="P29" s="1"/>
      <c r="Q29" s="1"/>
      <c r="R29" s="1"/>
      <c r="S29" s="1"/>
      <c r="T29" s="1"/>
      <c r="U29" s="1"/>
      <c r="V29" s="1"/>
      <c r="W29" s="1"/>
      <c r="X29" s="1"/>
      <c r="Y29" s="1"/>
      <c r="Z29" s="1"/>
    </row>
    <row r="30" spans="1:26" ht="29.4" thickBot="1" x14ac:dyDescent="0.35">
      <c r="A30" s="1" t="s">
        <v>119</v>
      </c>
      <c r="B30" s="4">
        <v>45425</v>
      </c>
      <c r="C30" s="1" t="s">
        <v>120</v>
      </c>
      <c r="D30" s="1" t="s">
        <v>121</v>
      </c>
      <c r="E30" s="1" t="s">
        <v>31</v>
      </c>
      <c r="F30" s="1" t="s">
        <v>32</v>
      </c>
      <c r="G30" s="1" t="s">
        <v>33</v>
      </c>
      <c r="H30" s="5">
        <v>2</v>
      </c>
      <c r="I30" s="5">
        <v>59.99</v>
      </c>
      <c r="J30" s="1" t="s">
        <v>57</v>
      </c>
      <c r="K30" s="1" t="s">
        <v>21</v>
      </c>
      <c r="L30" s="1" t="s">
        <v>36</v>
      </c>
      <c r="M30" s="4">
        <v>45214</v>
      </c>
      <c r="N30" s="5">
        <v>119.98</v>
      </c>
      <c r="O30" s="1"/>
      <c r="P30" s="1"/>
      <c r="Q30" s="1"/>
      <c r="R30" s="1"/>
      <c r="S30" s="1"/>
      <c r="T30" s="1"/>
      <c r="U30" s="1"/>
      <c r="V30" s="1"/>
      <c r="W30" s="1"/>
      <c r="X30" s="1"/>
      <c r="Y30" s="1"/>
      <c r="Z30" s="1"/>
    </row>
    <row r="31" spans="1:26" ht="29.4" thickBot="1" x14ac:dyDescent="0.35">
      <c r="A31" s="1" t="s">
        <v>122</v>
      </c>
      <c r="B31" s="4">
        <v>45427</v>
      </c>
      <c r="C31" s="1" t="s">
        <v>123</v>
      </c>
      <c r="D31" s="1" t="s">
        <v>124</v>
      </c>
      <c r="E31" s="1" t="s">
        <v>31</v>
      </c>
      <c r="F31" s="1" t="s">
        <v>32</v>
      </c>
      <c r="G31" s="1" t="s">
        <v>33</v>
      </c>
      <c r="H31" s="5">
        <v>4</v>
      </c>
      <c r="I31" s="5">
        <v>59.99</v>
      </c>
      <c r="J31" s="1" t="s">
        <v>57</v>
      </c>
      <c r="K31" s="1" t="s">
        <v>63</v>
      </c>
      <c r="L31" s="1" t="s">
        <v>36</v>
      </c>
      <c r="M31" s="4">
        <v>44867</v>
      </c>
      <c r="N31" s="5">
        <v>239.96</v>
      </c>
      <c r="O31" s="1"/>
      <c r="P31" s="1"/>
      <c r="Q31" s="1"/>
      <c r="R31" s="1"/>
      <c r="S31" s="1"/>
      <c r="T31" s="1"/>
      <c r="U31" s="1"/>
      <c r="V31" s="1"/>
      <c r="W31" s="1"/>
      <c r="X31" s="1"/>
      <c r="Y31" s="1"/>
      <c r="Z31" s="1"/>
    </row>
    <row r="32" spans="1:26" ht="29.4" thickBot="1" x14ac:dyDescent="0.35">
      <c r="A32" s="1" t="s">
        <v>125</v>
      </c>
      <c r="B32" s="4">
        <v>45427</v>
      </c>
      <c r="C32" s="1" t="s">
        <v>55</v>
      </c>
      <c r="D32" s="1" t="s">
        <v>56</v>
      </c>
      <c r="E32" s="1" t="s">
        <v>126</v>
      </c>
      <c r="F32" s="1" t="s">
        <v>127</v>
      </c>
      <c r="G32" s="1" t="s">
        <v>46</v>
      </c>
      <c r="H32" s="5">
        <v>5</v>
      </c>
      <c r="I32" s="5">
        <v>199.99</v>
      </c>
      <c r="J32" s="1" t="s">
        <v>20</v>
      </c>
      <c r="K32" s="1" t="s">
        <v>35</v>
      </c>
      <c r="L32" s="1" t="s">
        <v>36</v>
      </c>
      <c r="M32" s="4">
        <v>44412</v>
      </c>
      <c r="N32" s="5">
        <v>999.95</v>
      </c>
      <c r="O32" s="1"/>
      <c r="P32" s="1"/>
      <c r="Q32" s="1"/>
      <c r="R32" s="1"/>
      <c r="S32" s="1"/>
      <c r="T32" s="1"/>
      <c r="U32" s="1"/>
      <c r="V32" s="1"/>
      <c r="W32" s="1"/>
      <c r="X32" s="1"/>
      <c r="Y32" s="1"/>
      <c r="Z32" s="1"/>
    </row>
    <row r="33" spans="1:26" ht="29.4" thickBot="1" x14ac:dyDescent="0.35">
      <c r="A33" s="1" t="s">
        <v>128</v>
      </c>
      <c r="B33" s="4">
        <v>45428</v>
      </c>
      <c r="C33" s="1" t="s">
        <v>129</v>
      </c>
      <c r="D33" s="1" t="s">
        <v>130</v>
      </c>
      <c r="E33" s="1" t="s">
        <v>44</v>
      </c>
      <c r="F33" s="1" t="s">
        <v>45</v>
      </c>
      <c r="G33" s="1" t="s">
        <v>46</v>
      </c>
      <c r="H33" s="5">
        <v>2</v>
      </c>
      <c r="I33" s="5">
        <v>149.99</v>
      </c>
      <c r="J33" s="1" t="s">
        <v>26</v>
      </c>
      <c r="K33" s="1" t="s">
        <v>50</v>
      </c>
      <c r="L33" s="1" t="s">
        <v>22</v>
      </c>
      <c r="M33" s="4">
        <v>44823</v>
      </c>
      <c r="N33" s="5">
        <v>299.98</v>
      </c>
      <c r="O33" s="1"/>
      <c r="P33" s="1"/>
      <c r="Q33" s="1"/>
      <c r="R33" s="1"/>
      <c r="S33" s="1"/>
      <c r="T33" s="1"/>
      <c r="U33" s="1"/>
      <c r="V33" s="1"/>
      <c r="W33" s="1"/>
      <c r="X33" s="1"/>
      <c r="Y33" s="1"/>
      <c r="Z33" s="1"/>
    </row>
    <row r="34" spans="1:26" ht="29.4" thickBot="1" x14ac:dyDescent="0.35">
      <c r="A34" s="1" t="s">
        <v>131</v>
      </c>
      <c r="B34" s="4">
        <v>45430</v>
      </c>
      <c r="C34" s="1" t="s">
        <v>132</v>
      </c>
      <c r="D34" s="1" t="s">
        <v>133</v>
      </c>
      <c r="E34" s="1" t="s">
        <v>44</v>
      </c>
      <c r="F34" s="1" t="s">
        <v>45</v>
      </c>
      <c r="G34" s="1" t="s">
        <v>46</v>
      </c>
      <c r="H34" s="5">
        <v>3</v>
      </c>
      <c r="I34" s="5">
        <v>149.99</v>
      </c>
      <c r="J34" s="1" t="s">
        <v>26</v>
      </c>
      <c r="K34" s="1" t="s">
        <v>50</v>
      </c>
      <c r="L34" s="1" t="s">
        <v>27</v>
      </c>
      <c r="M34" s="4">
        <v>45068</v>
      </c>
      <c r="N34" s="5">
        <v>449.97</v>
      </c>
      <c r="O34" s="1"/>
      <c r="P34" s="1"/>
      <c r="Q34" s="1"/>
      <c r="R34" s="1"/>
      <c r="S34" s="1"/>
      <c r="T34" s="1"/>
      <c r="U34" s="1"/>
      <c r="V34" s="1"/>
      <c r="W34" s="1"/>
      <c r="X34" s="1"/>
      <c r="Y34" s="1"/>
      <c r="Z34" s="1"/>
    </row>
    <row r="35" spans="1:26" ht="29.4" thickBot="1" x14ac:dyDescent="0.35">
      <c r="A35" s="1" t="s">
        <v>134</v>
      </c>
      <c r="B35" s="4">
        <v>45432</v>
      </c>
      <c r="C35" s="1" t="s">
        <v>29</v>
      </c>
      <c r="D35" s="1" t="s">
        <v>30</v>
      </c>
      <c r="E35" s="1" t="s">
        <v>61</v>
      </c>
      <c r="F35" s="1" t="s">
        <v>62</v>
      </c>
      <c r="G35" s="1" t="s">
        <v>19</v>
      </c>
      <c r="H35" s="5">
        <v>1</v>
      </c>
      <c r="I35" s="5">
        <v>899.99</v>
      </c>
      <c r="J35" s="1" t="s">
        <v>26</v>
      </c>
      <c r="K35" s="1" t="s">
        <v>50</v>
      </c>
      <c r="L35" s="1" t="s">
        <v>27</v>
      </c>
      <c r="M35" s="4">
        <v>44578</v>
      </c>
      <c r="N35" s="5">
        <v>899.99</v>
      </c>
      <c r="O35" s="1"/>
      <c r="P35" s="1"/>
      <c r="Q35" s="1"/>
      <c r="R35" s="1"/>
      <c r="S35" s="1"/>
      <c r="T35" s="1"/>
      <c r="U35" s="1"/>
      <c r="V35" s="1"/>
      <c r="W35" s="1"/>
      <c r="X35" s="1"/>
      <c r="Y35" s="1"/>
      <c r="Z35" s="1"/>
    </row>
    <row r="36" spans="1:26" ht="29.4" thickBot="1" x14ac:dyDescent="0.35">
      <c r="A36" s="1" t="s">
        <v>135</v>
      </c>
      <c r="B36" s="4">
        <v>45434</v>
      </c>
      <c r="C36" s="1" t="s">
        <v>99</v>
      </c>
      <c r="D36" s="1" t="s">
        <v>100</v>
      </c>
      <c r="E36" s="1" t="s">
        <v>105</v>
      </c>
      <c r="F36" s="1" t="s">
        <v>106</v>
      </c>
      <c r="G36" s="1" t="s">
        <v>46</v>
      </c>
      <c r="H36" s="5">
        <v>3</v>
      </c>
      <c r="I36" s="5">
        <v>299.99</v>
      </c>
      <c r="J36" s="1" t="s">
        <v>26</v>
      </c>
      <c r="K36" s="1" t="s">
        <v>63</v>
      </c>
      <c r="L36" s="1" t="s">
        <v>22</v>
      </c>
      <c r="M36" s="4">
        <v>44824</v>
      </c>
      <c r="N36" s="5">
        <v>899.97</v>
      </c>
      <c r="O36" s="1"/>
      <c r="P36" s="1"/>
      <c r="Q36" s="1"/>
      <c r="R36" s="1"/>
      <c r="S36" s="1"/>
      <c r="T36" s="1"/>
      <c r="U36" s="1"/>
      <c r="V36" s="1"/>
      <c r="W36" s="1"/>
      <c r="X36" s="1"/>
      <c r="Y36" s="1"/>
      <c r="Z36" s="1"/>
    </row>
    <row r="37" spans="1:26" ht="29.4" thickBot="1" x14ac:dyDescent="0.35">
      <c r="A37" s="1" t="s">
        <v>136</v>
      </c>
      <c r="B37" s="4">
        <v>45435</v>
      </c>
      <c r="C37" s="1" t="s">
        <v>129</v>
      </c>
      <c r="D37" s="1" t="s">
        <v>130</v>
      </c>
      <c r="E37" s="1" t="s">
        <v>114</v>
      </c>
      <c r="F37" s="1" t="s">
        <v>115</v>
      </c>
      <c r="G37" s="1" t="s">
        <v>33</v>
      </c>
      <c r="H37" s="5">
        <v>3</v>
      </c>
      <c r="I37" s="5">
        <v>79.989999999999995</v>
      </c>
      <c r="J37" s="1" t="s">
        <v>20</v>
      </c>
      <c r="K37" s="1" t="s">
        <v>35</v>
      </c>
      <c r="L37" s="1" t="s">
        <v>22</v>
      </c>
      <c r="M37" s="4">
        <v>45046</v>
      </c>
      <c r="N37" s="5">
        <v>239.97</v>
      </c>
      <c r="O37" s="1"/>
      <c r="P37" s="1"/>
      <c r="Q37" s="1"/>
      <c r="R37" s="1"/>
      <c r="S37" s="1"/>
      <c r="T37" s="1"/>
      <c r="U37" s="1"/>
      <c r="V37" s="1"/>
      <c r="W37" s="1"/>
      <c r="X37" s="1"/>
      <c r="Y37" s="1"/>
      <c r="Z37" s="1"/>
    </row>
    <row r="38" spans="1:26" ht="29.4" thickBot="1" x14ac:dyDescent="0.35">
      <c r="A38" s="1" t="s">
        <v>137</v>
      </c>
      <c r="B38" s="4">
        <v>45438</v>
      </c>
      <c r="C38" s="1" t="s">
        <v>138</v>
      </c>
      <c r="D38" s="1" t="s">
        <v>139</v>
      </c>
      <c r="E38" s="1" t="s">
        <v>126</v>
      </c>
      <c r="F38" s="1" t="s">
        <v>127</v>
      </c>
      <c r="G38" s="1" t="s">
        <v>46</v>
      </c>
      <c r="H38" s="5">
        <v>3</v>
      </c>
      <c r="I38" s="5">
        <v>199.99</v>
      </c>
      <c r="J38" s="1" t="s">
        <v>26</v>
      </c>
      <c r="K38" s="1" t="s">
        <v>40</v>
      </c>
      <c r="L38" s="1" t="s">
        <v>27</v>
      </c>
      <c r="M38" s="4">
        <v>45292</v>
      </c>
      <c r="N38" s="5">
        <v>599.97</v>
      </c>
      <c r="O38" s="1"/>
      <c r="P38" s="1"/>
      <c r="Q38" s="1"/>
      <c r="R38" s="1"/>
      <c r="S38" s="1"/>
      <c r="T38" s="1"/>
      <c r="U38" s="1"/>
      <c r="V38" s="1"/>
      <c r="W38" s="1"/>
      <c r="X38" s="1"/>
      <c r="Y38" s="1"/>
      <c r="Z38" s="1"/>
    </row>
    <row r="39" spans="1:26" ht="29.4" thickBot="1" x14ac:dyDescent="0.35">
      <c r="A39" s="1" t="s">
        <v>140</v>
      </c>
      <c r="B39" s="4">
        <v>45440</v>
      </c>
      <c r="C39" s="1" t="s">
        <v>141</v>
      </c>
      <c r="D39" s="1" t="s">
        <v>142</v>
      </c>
      <c r="E39" s="1" t="s">
        <v>80</v>
      </c>
      <c r="F39" s="1" t="s">
        <v>81</v>
      </c>
      <c r="G39" s="1" t="s">
        <v>19</v>
      </c>
      <c r="H39" s="5">
        <v>5</v>
      </c>
      <c r="I39" s="5">
        <v>699.99</v>
      </c>
      <c r="J39" s="1" t="s">
        <v>34</v>
      </c>
      <c r="K39" s="1" t="s">
        <v>50</v>
      </c>
      <c r="L39" s="1" t="s">
        <v>36</v>
      </c>
      <c r="M39" s="4">
        <v>44407</v>
      </c>
      <c r="N39" s="5">
        <v>3499.95</v>
      </c>
      <c r="O39" s="1"/>
      <c r="P39" s="1"/>
      <c r="Q39" s="1"/>
      <c r="R39" s="1"/>
      <c r="S39" s="1"/>
      <c r="T39" s="1"/>
      <c r="U39" s="1"/>
      <c r="V39" s="1"/>
      <c r="W39" s="1"/>
      <c r="X39" s="1"/>
      <c r="Y39" s="1"/>
      <c r="Z39" s="1"/>
    </row>
    <row r="40" spans="1:26" ht="29.4" thickBot="1" x14ac:dyDescent="0.35">
      <c r="A40" s="1" t="s">
        <v>143</v>
      </c>
      <c r="B40" s="4">
        <v>45441</v>
      </c>
      <c r="C40" s="1" t="s">
        <v>144</v>
      </c>
      <c r="D40" s="1" t="s">
        <v>145</v>
      </c>
      <c r="E40" s="1" t="s">
        <v>117</v>
      </c>
      <c r="F40" s="1" t="s">
        <v>118</v>
      </c>
      <c r="G40" s="1" t="s">
        <v>19</v>
      </c>
      <c r="H40" s="5">
        <v>3</v>
      </c>
      <c r="I40" s="5">
        <v>89.99</v>
      </c>
      <c r="J40" s="1" t="s">
        <v>34</v>
      </c>
      <c r="K40" s="1" t="s">
        <v>21</v>
      </c>
      <c r="L40" s="1" t="s">
        <v>27</v>
      </c>
      <c r="M40" s="4">
        <v>45120</v>
      </c>
      <c r="N40" s="5">
        <v>269.97000000000003</v>
      </c>
      <c r="O40" s="1"/>
      <c r="P40" s="1"/>
      <c r="Q40" s="1"/>
      <c r="R40" s="1"/>
      <c r="S40" s="1"/>
      <c r="T40" s="1"/>
      <c r="U40" s="1"/>
      <c r="V40" s="1"/>
      <c r="W40" s="1"/>
      <c r="X40" s="1"/>
      <c r="Y40" s="1"/>
      <c r="Z40" s="1"/>
    </row>
    <row r="41" spans="1:26" ht="29.4" thickBot="1" x14ac:dyDescent="0.35">
      <c r="A41" s="1" t="s">
        <v>146</v>
      </c>
      <c r="B41" s="4">
        <v>45443</v>
      </c>
      <c r="C41" s="1" t="s">
        <v>147</v>
      </c>
      <c r="D41" s="1" t="s">
        <v>148</v>
      </c>
      <c r="E41" s="1" t="s">
        <v>114</v>
      </c>
      <c r="F41" s="1" t="s">
        <v>115</v>
      </c>
      <c r="G41" s="1" t="s">
        <v>33</v>
      </c>
      <c r="H41" s="5">
        <v>1</v>
      </c>
      <c r="I41" s="5">
        <v>79.989999999999995</v>
      </c>
      <c r="J41" s="1" t="s">
        <v>20</v>
      </c>
      <c r="K41" s="1" t="s">
        <v>40</v>
      </c>
      <c r="L41" s="1" t="s">
        <v>36</v>
      </c>
      <c r="M41" s="4">
        <v>44917</v>
      </c>
      <c r="N41" s="5">
        <v>79.989999999999995</v>
      </c>
      <c r="O41" s="1"/>
      <c r="P41" s="1"/>
      <c r="Q41" s="1"/>
      <c r="R41" s="1"/>
      <c r="S41" s="1"/>
      <c r="T41" s="1"/>
      <c r="U41" s="1"/>
      <c r="V41" s="1"/>
      <c r="W41" s="1"/>
      <c r="X41" s="1"/>
      <c r="Y41" s="1"/>
      <c r="Z41" s="1"/>
    </row>
    <row r="42" spans="1:26" ht="29.4" thickBot="1" x14ac:dyDescent="0.35">
      <c r="A42" s="1" t="s">
        <v>149</v>
      </c>
      <c r="B42" s="4">
        <v>45444</v>
      </c>
      <c r="C42" s="1" t="s">
        <v>150</v>
      </c>
      <c r="D42" s="1" t="s">
        <v>151</v>
      </c>
      <c r="E42" s="1" t="s">
        <v>31</v>
      </c>
      <c r="F42" s="1" t="s">
        <v>32</v>
      </c>
      <c r="G42" s="1" t="s">
        <v>33</v>
      </c>
      <c r="H42" s="5">
        <v>2</v>
      </c>
      <c r="I42" s="5">
        <v>59.99</v>
      </c>
      <c r="J42" s="1" t="s">
        <v>20</v>
      </c>
      <c r="K42" s="1" t="s">
        <v>50</v>
      </c>
      <c r="L42" s="1" t="s">
        <v>22</v>
      </c>
      <c r="M42" s="4">
        <v>45390</v>
      </c>
      <c r="N42" s="5">
        <v>119.98</v>
      </c>
      <c r="O42" s="1"/>
      <c r="P42" s="1"/>
      <c r="Q42" s="1"/>
      <c r="R42" s="1"/>
      <c r="S42" s="1"/>
      <c r="T42" s="1"/>
      <c r="U42" s="1"/>
      <c r="V42" s="1"/>
      <c r="W42" s="1"/>
      <c r="X42" s="1"/>
      <c r="Y42" s="1"/>
      <c r="Z42" s="1"/>
    </row>
    <row r="43" spans="1:26" ht="29.4" thickBot="1" x14ac:dyDescent="0.35">
      <c r="A43" s="1" t="s">
        <v>152</v>
      </c>
      <c r="B43" s="4">
        <v>45444</v>
      </c>
      <c r="C43" s="1" t="s">
        <v>55</v>
      </c>
      <c r="D43" s="1" t="s">
        <v>56</v>
      </c>
      <c r="E43" s="1" t="s">
        <v>117</v>
      </c>
      <c r="F43" s="1" t="s">
        <v>118</v>
      </c>
      <c r="G43" s="1" t="s">
        <v>19</v>
      </c>
      <c r="H43" s="5">
        <v>1</v>
      </c>
      <c r="I43" s="5">
        <v>89.99</v>
      </c>
      <c r="J43" s="1" t="s">
        <v>20</v>
      </c>
      <c r="K43" s="1" t="s">
        <v>40</v>
      </c>
      <c r="L43" s="1" t="s">
        <v>22</v>
      </c>
      <c r="M43" s="4">
        <v>45141</v>
      </c>
      <c r="N43" s="5">
        <v>89.99</v>
      </c>
      <c r="O43" s="1"/>
      <c r="P43" s="1"/>
      <c r="Q43" s="1"/>
      <c r="R43" s="1"/>
      <c r="S43" s="1"/>
      <c r="T43" s="1"/>
      <c r="U43" s="1"/>
      <c r="V43" s="1"/>
      <c r="W43" s="1"/>
      <c r="X43" s="1"/>
      <c r="Y43" s="1"/>
      <c r="Z43" s="1"/>
    </row>
    <row r="44" spans="1:26" ht="29.4" thickBot="1" x14ac:dyDescent="0.35">
      <c r="A44" s="1" t="s">
        <v>153</v>
      </c>
      <c r="B44" s="4">
        <v>45446</v>
      </c>
      <c r="C44" s="1" t="s">
        <v>154</v>
      </c>
      <c r="D44" s="1" t="s">
        <v>155</v>
      </c>
      <c r="E44" s="1" t="s">
        <v>117</v>
      </c>
      <c r="F44" s="1" t="s">
        <v>118</v>
      </c>
      <c r="G44" s="1" t="s">
        <v>19</v>
      </c>
      <c r="H44" s="5">
        <v>5</v>
      </c>
      <c r="I44" s="5">
        <v>89.99</v>
      </c>
      <c r="J44" s="1" t="s">
        <v>26</v>
      </c>
      <c r="K44" s="1" t="s">
        <v>63</v>
      </c>
      <c r="L44" s="1" t="s">
        <v>36</v>
      </c>
      <c r="M44" s="4">
        <v>44587</v>
      </c>
      <c r="N44" s="5">
        <v>449.95</v>
      </c>
      <c r="O44" s="1"/>
      <c r="P44" s="1"/>
      <c r="Q44" s="1"/>
      <c r="R44" s="1"/>
      <c r="S44" s="1"/>
      <c r="T44" s="1"/>
      <c r="U44" s="1"/>
      <c r="V44" s="1"/>
      <c r="W44" s="1"/>
      <c r="X44" s="1"/>
      <c r="Y44" s="1"/>
      <c r="Z44" s="1"/>
    </row>
    <row r="45" spans="1:26" ht="29.4" thickBot="1" x14ac:dyDescent="0.35">
      <c r="A45" s="1" t="s">
        <v>156</v>
      </c>
      <c r="B45" s="4">
        <v>45449</v>
      </c>
      <c r="C45" s="1" t="s">
        <v>24</v>
      </c>
      <c r="D45" s="1" t="s">
        <v>25</v>
      </c>
      <c r="E45" s="1" t="s">
        <v>17</v>
      </c>
      <c r="F45" s="1" t="s">
        <v>18</v>
      </c>
      <c r="G45" s="1" t="s">
        <v>19</v>
      </c>
      <c r="H45" s="5">
        <v>5</v>
      </c>
      <c r="I45" s="5">
        <v>249.99</v>
      </c>
      <c r="J45" s="1" t="s">
        <v>26</v>
      </c>
      <c r="K45" s="1" t="s">
        <v>63</v>
      </c>
      <c r="L45" s="1" t="s">
        <v>36</v>
      </c>
      <c r="M45" s="4">
        <v>44707</v>
      </c>
      <c r="N45" s="5">
        <v>1249.95</v>
      </c>
      <c r="O45" s="1"/>
      <c r="P45" s="1"/>
      <c r="Q45" s="1"/>
      <c r="R45" s="1"/>
      <c r="S45" s="1"/>
      <c r="T45" s="1"/>
      <c r="U45" s="1"/>
      <c r="V45" s="1"/>
      <c r="W45" s="1"/>
      <c r="X45" s="1"/>
      <c r="Y45" s="1"/>
      <c r="Z45" s="1"/>
    </row>
    <row r="46" spans="1:26" ht="29.4" thickBot="1" x14ac:dyDescent="0.35">
      <c r="A46" s="1" t="s">
        <v>157</v>
      </c>
      <c r="B46" s="4">
        <v>45449</v>
      </c>
      <c r="C46" s="1" t="s">
        <v>158</v>
      </c>
      <c r="D46" s="1" t="s">
        <v>159</v>
      </c>
      <c r="E46" s="1" t="s">
        <v>117</v>
      </c>
      <c r="F46" s="1" t="s">
        <v>118</v>
      </c>
      <c r="G46" s="1" t="s">
        <v>19</v>
      </c>
      <c r="H46" s="5">
        <v>1</v>
      </c>
      <c r="I46" s="5">
        <v>89.99</v>
      </c>
      <c r="J46" s="1" t="s">
        <v>26</v>
      </c>
      <c r="K46" s="1" t="s">
        <v>35</v>
      </c>
      <c r="L46" s="1" t="s">
        <v>36</v>
      </c>
      <c r="M46" s="4">
        <v>44582</v>
      </c>
      <c r="N46" s="5">
        <v>89.99</v>
      </c>
      <c r="O46" s="1"/>
      <c r="P46" s="1"/>
      <c r="Q46" s="1"/>
      <c r="R46" s="1"/>
      <c r="S46" s="1"/>
      <c r="T46" s="1"/>
      <c r="U46" s="1"/>
      <c r="V46" s="1"/>
      <c r="W46" s="1"/>
      <c r="X46" s="1"/>
      <c r="Y46" s="1"/>
      <c r="Z46" s="1"/>
    </row>
    <row r="47" spans="1:26" ht="29.4" thickBot="1" x14ac:dyDescent="0.35">
      <c r="A47" s="1" t="s">
        <v>160</v>
      </c>
      <c r="B47" s="4">
        <v>45450</v>
      </c>
      <c r="C47" s="1" t="s">
        <v>42</v>
      </c>
      <c r="D47" s="1" t="s">
        <v>43</v>
      </c>
      <c r="E47" s="1" t="s">
        <v>44</v>
      </c>
      <c r="F47" s="1" t="s">
        <v>45</v>
      </c>
      <c r="G47" s="1" t="s">
        <v>46</v>
      </c>
      <c r="H47" s="5">
        <v>2</v>
      </c>
      <c r="I47" s="5">
        <v>149.99</v>
      </c>
      <c r="J47" s="1" t="s">
        <v>20</v>
      </c>
      <c r="K47" s="1" t="s">
        <v>63</v>
      </c>
      <c r="L47" s="1" t="s">
        <v>27</v>
      </c>
      <c r="M47" s="4">
        <v>44645</v>
      </c>
      <c r="N47" s="5">
        <v>299.98</v>
      </c>
      <c r="O47" s="1"/>
      <c r="P47" s="1"/>
      <c r="Q47" s="1"/>
      <c r="R47" s="1"/>
      <c r="S47" s="1"/>
      <c r="T47" s="1"/>
      <c r="U47" s="1"/>
      <c r="V47" s="1"/>
      <c r="W47" s="1"/>
      <c r="X47" s="1"/>
      <c r="Y47" s="1"/>
      <c r="Z47" s="1"/>
    </row>
    <row r="48" spans="1:26" ht="29.4" thickBot="1" x14ac:dyDescent="0.35">
      <c r="A48" s="1" t="s">
        <v>161</v>
      </c>
      <c r="B48" s="4">
        <v>45452</v>
      </c>
      <c r="C48" s="1" t="s">
        <v>162</v>
      </c>
      <c r="D48" s="1" t="s">
        <v>163</v>
      </c>
      <c r="E48" s="1" t="s">
        <v>31</v>
      </c>
      <c r="F48" s="1" t="s">
        <v>32</v>
      </c>
      <c r="G48" s="1" t="s">
        <v>33</v>
      </c>
      <c r="H48" s="5">
        <v>4</v>
      </c>
      <c r="I48" s="5">
        <v>59.99</v>
      </c>
      <c r="J48" s="1" t="s">
        <v>20</v>
      </c>
      <c r="K48" s="1" t="s">
        <v>63</v>
      </c>
      <c r="L48" s="1" t="s">
        <v>36</v>
      </c>
      <c r="M48" s="4">
        <v>44435</v>
      </c>
      <c r="N48" s="5">
        <v>239.96</v>
      </c>
      <c r="O48" s="1"/>
      <c r="P48" s="1"/>
      <c r="Q48" s="1"/>
      <c r="R48" s="1"/>
      <c r="S48" s="1"/>
      <c r="T48" s="1"/>
      <c r="U48" s="1"/>
      <c r="V48" s="1"/>
      <c r="W48" s="1"/>
      <c r="X48" s="1"/>
      <c r="Y48" s="1"/>
      <c r="Z48" s="1"/>
    </row>
    <row r="49" spans="1:26" ht="29.4" thickBot="1" x14ac:dyDescent="0.35">
      <c r="A49" s="1" t="s">
        <v>164</v>
      </c>
      <c r="B49" s="4">
        <v>45456</v>
      </c>
      <c r="C49" s="1" t="s">
        <v>129</v>
      </c>
      <c r="D49" s="1" t="s">
        <v>130</v>
      </c>
      <c r="E49" s="1" t="s">
        <v>117</v>
      </c>
      <c r="F49" s="1" t="s">
        <v>118</v>
      </c>
      <c r="G49" s="1" t="s">
        <v>19</v>
      </c>
      <c r="H49" s="5">
        <v>5</v>
      </c>
      <c r="I49" s="5">
        <v>89.99</v>
      </c>
      <c r="J49" s="1" t="s">
        <v>20</v>
      </c>
      <c r="K49" s="1" t="s">
        <v>21</v>
      </c>
      <c r="L49" s="1" t="s">
        <v>27</v>
      </c>
      <c r="M49" s="4">
        <v>44579</v>
      </c>
      <c r="N49" s="5">
        <v>449.95</v>
      </c>
      <c r="O49" s="1"/>
      <c r="P49" s="1"/>
      <c r="Q49" s="1"/>
      <c r="R49" s="1"/>
      <c r="S49" s="1"/>
      <c r="T49" s="1"/>
      <c r="U49" s="1"/>
      <c r="V49" s="1"/>
      <c r="W49" s="1"/>
      <c r="X49" s="1"/>
      <c r="Y49" s="1"/>
      <c r="Z49" s="1"/>
    </row>
    <row r="50" spans="1:26" ht="29.4" thickBot="1" x14ac:dyDescent="0.35">
      <c r="A50" s="1" t="s">
        <v>165</v>
      </c>
      <c r="B50" s="4">
        <v>45459</v>
      </c>
      <c r="C50" s="1" t="s">
        <v>99</v>
      </c>
      <c r="D50" s="1" t="s">
        <v>100</v>
      </c>
      <c r="E50" s="1" t="s">
        <v>117</v>
      </c>
      <c r="F50" s="1" t="s">
        <v>118</v>
      </c>
      <c r="G50" s="1" t="s">
        <v>19</v>
      </c>
      <c r="H50" s="5">
        <v>2</v>
      </c>
      <c r="I50" s="5">
        <v>89.99</v>
      </c>
      <c r="J50" s="1" t="s">
        <v>26</v>
      </c>
      <c r="K50" s="1" t="s">
        <v>35</v>
      </c>
      <c r="L50" s="1" t="s">
        <v>27</v>
      </c>
      <c r="M50" s="4">
        <v>44471</v>
      </c>
      <c r="N50" s="5">
        <v>179.98</v>
      </c>
      <c r="O50" s="1"/>
      <c r="P50" s="1"/>
      <c r="Q50" s="1"/>
      <c r="R50" s="1"/>
      <c r="S50" s="1"/>
      <c r="T50" s="1"/>
      <c r="U50" s="1"/>
      <c r="V50" s="1"/>
      <c r="W50" s="1"/>
      <c r="X50" s="1"/>
      <c r="Y50" s="1"/>
      <c r="Z50" s="1"/>
    </row>
    <row r="51" spans="1:26" ht="29.4" thickBot="1" x14ac:dyDescent="0.35">
      <c r="A51" s="1" t="s">
        <v>166</v>
      </c>
      <c r="B51" s="4">
        <v>45459</v>
      </c>
      <c r="C51" s="1" t="s">
        <v>15</v>
      </c>
      <c r="D51" s="1" t="s">
        <v>16</v>
      </c>
      <c r="E51" s="1" t="s">
        <v>61</v>
      </c>
      <c r="F51" s="1" t="s">
        <v>62</v>
      </c>
      <c r="G51" s="1" t="s">
        <v>19</v>
      </c>
      <c r="H51" s="5">
        <v>5</v>
      </c>
      <c r="I51" s="5">
        <v>899.99</v>
      </c>
      <c r="J51" s="1" t="s">
        <v>26</v>
      </c>
      <c r="K51" s="1" t="s">
        <v>35</v>
      </c>
      <c r="L51" s="1" t="s">
        <v>36</v>
      </c>
      <c r="M51" s="4">
        <v>44974</v>
      </c>
      <c r="N51" s="5">
        <v>4499.95</v>
      </c>
      <c r="O51" s="1"/>
      <c r="P51" s="1"/>
      <c r="Q51" s="1"/>
      <c r="R51" s="1"/>
      <c r="S51" s="1"/>
      <c r="T51" s="1"/>
      <c r="U51" s="1"/>
      <c r="V51" s="1"/>
      <c r="W51" s="1"/>
      <c r="X51" s="1"/>
      <c r="Y51" s="1"/>
      <c r="Z51" s="1"/>
    </row>
    <row r="52" spans="1:26" ht="29.4" thickBot="1" x14ac:dyDescent="0.35">
      <c r="A52" s="1" t="s">
        <v>167</v>
      </c>
      <c r="B52" s="4">
        <v>45459</v>
      </c>
      <c r="C52" s="1" t="s">
        <v>123</v>
      </c>
      <c r="D52" s="1" t="s">
        <v>124</v>
      </c>
      <c r="E52" s="1" t="s">
        <v>61</v>
      </c>
      <c r="F52" s="1" t="s">
        <v>62</v>
      </c>
      <c r="G52" s="1" t="s">
        <v>19</v>
      </c>
      <c r="H52" s="5">
        <v>5</v>
      </c>
      <c r="I52" s="5">
        <v>899.99</v>
      </c>
      <c r="J52" s="1" t="s">
        <v>34</v>
      </c>
      <c r="K52" s="1" t="s">
        <v>63</v>
      </c>
      <c r="L52" s="1" t="s">
        <v>27</v>
      </c>
      <c r="M52" s="4">
        <v>45278</v>
      </c>
      <c r="N52" s="5">
        <v>4499.95</v>
      </c>
      <c r="O52" s="1"/>
      <c r="P52" s="1"/>
      <c r="Q52" s="1"/>
      <c r="R52" s="1"/>
      <c r="S52" s="1"/>
      <c r="T52" s="1"/>
      <c r="U52" s="1"/>
      <c r="V52" s="1"/>
      <c r="W52" s="1"/>
      <c r="X52" s="1"/>
      <c r="Y52" s="1"/>
      <c r="Z52" s="1"/>
    </row>
    <row r="53" spans="1:26" ht="29.4" thickBot="1" x14ac:dyDescent="0.35">
      <c r="A53" s="1" t="s">
        <v>168</v>
      </c>
      <c r="B53" s="4">
        <v>45460</v>
      </c>
      <c r="C53" s="1" t="s">
        <v>158</v>
      </c>
      <c r="D53" s="1" t="s">
        <v>159</v>
      </c>
      <c r="E53" s="1" t="s">
        <v>31</v>
      </c>
      <c r="F53" s="1" t="s">
        <v>32</v>
      </c>
      <c r="G53" s="1" t="s">
        <v>33</v>
      </c>
      <c r="H53" s="5">
        <v>1</v>
      </c>
      <c r="I53" s="5">
        <v>59.99</v>
      </c>
      <c r="J53" s="1" t="s">
        <v>57</v>
      </c>
      <c r="K53" s="1" t="s">
        <v>50</v>
      </c>
      <c r="L53" s="1" t="s">
        <v>27</v>
      </c>
      <c r="M53" s="4">
        <v>45190</v>
      </c>
      <c r="N53" s="5">
        <v>59.99</v>
      </c>
      <c r="O53" s="1"/>
      <c r="P53" s="1"/>
      <c r="Q53" s="1"/>
      <c r="R53" s="1"/>
      <c r="S53" s="1"/>
      <c r="T53" s="1"/>
      <c r="U53" s="1"/>
      <c r="V53" s="1"/>
      <c r="W53" s="1"/>
      <c r="X53" s="1"/>
      <c r="Y53" s="1"/>
      <c r="Z53" s="1"/>
    </row>
    <row r="54" spans="1:26" ht="29.4" thickBot="1" x14ac:dyDescent="0.35">
      <c r="A54" s="1" t="s">
        <v>169</v>
      </c>
      <c r="B54" s="4">
        <v>45460</v>
      </c>
      <c r="C54" s="1" t="s">
        <v>141</v>
      </c>
      <c r="D54" s="1" t="s">
        <v>142</v>
      </c>
      <c r="E54" s="1" t="s">
        <v>105</v>
      </c>
      <c r="F54" s="1" t="s">
        <v>106</v>
      </c>
      <c r="G54" s="1" t="s">
        <v>46</v>
      </c>
      <c r="H54" s="5">
        <v>2</v>
      </c>
      <c r="I54" s="5">
        <v>299.99</v>
      </c>
      <c r="J54" s="1" t="s">
        <v>57</v>
      </c>
      <c r="K54" s="1" t="s">
        <v>63</v>
      </c>
      <c r="L54" s="1" t="s">
        <v>36</v>
      </c>
      <c r="M54" s="4">
        <v>45253</v>
      </c>
      <c r="N54" s="5">
        <v>599.98</v>
      </c>
      <c r="O54" s="1"/>
      <c r="P54" s="1"/>
      <c r="Q54" s="1"/>
      <c r="R54" s="1"/>
      <c r="S54" s="1"/>
      <c r="T54" s="1"/>
      <c r="U54" s="1"/>
      <c r="V54" s="1"/>
      <c r="W54" s="1"/>
      <c r="X54" s="1"/>
      <c r="Y54" s="1"/>
      <c r="Z54" s="1"/>
    </row>
    <row r="55" spans="1:26" ht="29.4" thickBot="1" x14ac:dyDescent="0.35">
      <c r="A55" s="1" t="s">
        <v>170</v>
      </c>
      <c r="B55" s="4">
        <v>45468</v>
      </c>
      <c r="C55" s="1" t="s">
        <v>171</v>
      </c>
      <c r="D55" s="1" t="s">
        <v>172</v>
      </c>
      <c r="E55" s="1" t="s">
        <v>117</v>
      </c>
      <c r="F55" s="1" t="s">
        <v>118</v>
      </c>
      <c r="G55" s="1" t="s">
        <v>19</v>
      </c>
      <c r="H55" s="5">
        <v>4</v>
      </c>
      <c r="I55" s="5">
        <v>89.99</v>
      </c>
      <c r="J55" s="1" t="s">
        <v>57</v>
      </c>
      <c r="K55" s="1" t="s">
        <v>35</v>
      </c>
      <c r="L55" s="1" t="s">
        <v>22</v>
      </c>
      <c r="M55" s="4">
        <v>45281</v>
      </c>
      <c r="N55" s="5">
        <v>359.96</v>
      </c>
      <c r="O55" s="1"/>
      <c r="P55" s="1"/>
      <c r="Q55" s="1"/>
      <c r="R55" s="1"/>
      <c r="S55" s="1"/>
      <c r="T55" s="1"/>
      <c r="U55" s="1"/>
      <c r="V55" s="1"/>
      <c r="W55" s="1"/>
      <c r="X55" s="1"/>
      <c r="Y55" s="1"/>
      <c r="Z55" s="1"/>
    </row>
    <row r="56" spans="1:26" ht="29.4" thickBot="1" x14ac:dyDescent="0.35">
      <c r="A56" s="1" t="s">
        <v>173</v>
      </c>
      <c r="B56" s="4">
        <v>45469</v>
      </c>
      <c r="C56" s="1" t="s">
        <v>29</v>
      </c>
      <c r="D56" s="1" t="s">
        <v>30</v>
      </c>
      <c r="E56" s="1" t="s">
        <v>114</v>
      </c>
      <c r="F56" s="1" t="s">
        <v>115</v>
      </c>
      <c r="G56" s="1" t="s">
        <v>33</v>
      </c>
      <c r="H56" s="5">
        <v>1</v>
      </c>
      <c r="I56" s="5">
        <v>79.989999999999995</v>
      </c>
      <c r="J56" s="1" t="s">
        <v>34</v>
      </c>
      <c r="K56" s="1" t="s">
        <v>21</v>
      </c>
      <c r="L56" s="1" t="s">
        <v>27</v>
      </c>
      <c r="M56" s="4">
        <v>45352</v>
      </c>
      <c r="N56" s="5">
        <v>79.989999999999995</v>
      </c>
      <c r="O56" s="1"/>
      <c r="P56" s="1"/>
      <c r="Q56" s="1"/>
      <c r="R56" s="1"/>
      <c r="S56" s="1"/>
      <c r="T56" s="1"/>
      <c r="U56" s="1"/>
      <c r="V56" s="1"/>
      <c r="W56" s="1"/>
      <c r="X56" s="1"/>
      <c r="Y56" s="1"/>
      <c r="Z56" s="1"/>
    </row>
    <row r="57" spans="1:26" ht="29.4" thickBot="1" x14ac:dyDescent="0.35">
      <c r="A57" s="1" t="s">
        <v>174</v>
      </c>
      <c r="B57" s="4">
        <v>45469</v>
      </c>
      <c r="C57" s="1" t="s">
        <v>59</v>
      </c>
      <c r="D57" s="1" t="s">
        <v>60</v>
      </c>
      <c r="E57" s="1" t="s">
        <v>117</v>
      </c>
      <c r="F57" s="1" t="s">
        <v>118</v>
      </c>
      <c r="G57" s="1" t="s">
        <v>19</v>
      </c>
      <c r="H57" s="5">
        <v>2</v>
      </c>
      <c r="I57" s="5">
        <v>89.99</v>
      </c>
      <c r="J57" s="1" t="s">
        <v>20</v>
      </c>
      <c r="K57" s="1" t="s">
        <v>50</v>
      </c>
      <c r="L57" s="1" t="s">
        <v>22</v>
      </c>
      <c r="M57" s="4">
        <v>44438</v>
      </c>
      <c r="N57" s="5">
        <v>179.98</v>
      </c>
      <c r="O57" s="1"/>
      <c r="P57" s="1"/>
      <c r="Q57" s="1"/>
      <c r="R57" s="1"/>
      <c r="S57" s="1"/>
      <c r="T57" s="1"/>
      <c r="U57" s="1"/>
      <c r="V57" s="1"/>
      <c r="W57" s="1"/>
      <c r="X57" s="1"/>
      <c r="Y57" s="1"/>
      <c r="Z57" s="1"/>
    </row>
    <row r="58" spans="1:26" ht="29.4" thickBot="1" x14ac:dyDescent="0.35">
      <c r="A58" s="1" t="s">
        <v>175</v>
      </c>
      <c r="B58" s="4">
        <v>45471</v>
      </c>
      <c r="C58" s="1" t="s">
        <v>38</v>
      </c>
      <c r="D58" s="1" t="s">
        <v>39</v>
      </c>
      <c r="E58" s="1" t="s">
        <v>80</v>
      </c>
      <c r="F58" s="1" t="s">
        <v>81</v>
      </c>
      <c r="G58" s="1" t="s">
        <v>19</v>
      </c>
      <c r="H58" s="5">
        <v>3</v>
      </c>
      <c r="I58" s="5">
        <v>699.99</v>
      </c>
      <c r="J58" s="1" t="s">
        <v>26</v>
      </c>
      <c r="K58" s="1" t="s">
        <v>63</v>
      </c>
      <c r="L58" s="1" t="s">
        <v>27</v>
      </c>
      <c r="M58" s="4">
        <v>45102</v>
      </c>
      <c r="N58" s="5">
        <v>2099.9699999999998</v>
      </c>
      <c r="O58" s="1"/>
      <c r="P58" s="1"/>
      <c r="Q58" s="1"/>
      <c r="R58" s="1"/>
      <c r="S58" s="1"/>
      <c r="T58" s="1"/>
      <c r="U58" s="1"/>
      <c r="V58" s="1"/>
      <c r="W58" s="1"/>
      <c r="X58" s="1"/>
      <c r="Y58" s="1"/>
      <c r="Z58" s="1"/>
    </row>
    <row r="59" spans="1:26" ht="29.4" thickBot="1" x14ac:dyDescent="0.35">
      <c r="A59" s="1" t="s">
        <v>176</v>
      </c>
      <c r="B59" s="4">
        <v>45471</v>
      </c>
      <c r="C59" s="1" t="s">
        <v>99</v>
      </c>
      <c r="D59" s="1" t="s">
        <v>100</v>
      </c>
      <c r="E59" s="1" t="s">
        <v>61</v>
      </c>
      <c r="F59" s="1" t="s">
        <v>62</v>
      </c>
      <c r="G59" s="1" t="s">
        <v>19</v>
      </c>
      <c r="H59" s="5">
        <v>4</v>
      </c>
      <c r="I59" s="5">
        <v>899.99</v>
      </c>
      <c r="J59" s="1" t="s">
        <v>26</v>
      </c>
      <c r="K59" s="1" t="s">
        <v>63</v>
      </c>
      <c r="L59" s="1" t="s">
        <v>27</v>
      </c>
      <c r="M59" s="4">
        <v>44993</v>
      </c>
      <c r="N59" s="5">
        <v>3599.96</v>
      </c>
      <c r="O59" s="1"/>
      <c r="P59" s="1"/>
      <c r="Q59" s="1"/>
      <c r="R59" s="1"/>
      <c r="S59" s="1"/>
      <c r="T59" s="1"/>
      <c r="U59" s="1"/>
      <c r="V59" s="1"/>
      <c r="W59" s="1"/>
      <c r="X59" s="1"/>
      <c r="Y59" s="1"/>
      <c r="Z59" s="1"/>
    </row>
    <row r="60" spans="1:26" ht="29.4" thickBot="1" x14ac:dyDescent="0.35">
      <c r="A60" s="1" t="s">
        <v>177</v>
      </c>
      <c r="B60" s="4">
        <v>45472</v>
      </c>
      <c r="C60" s="1" t="s">
        <v>120</v>
      </c>
      <c r="D60" s="1" t="s">
        <v>121</v>
      </c>
      <c r="E60" s="1" t="s">
        <v>44</v>
      </c>
      <c r="F60" s="1" t="s">
        <v>45</v>
      </c>
      <c r="G60" s="1" t="s">
        <v>46</v>
      </c>
      <c r="H60" s="5">
        <v>1</v>
      </c>
      <c r="I60" s="5">
        <v>149.99</v>
      </c>
      <c r="J60" s="1" t="s">
        <v>34</v>
      </c>
      <c r="K60" s="1" t="s">
        <v>63</v>
      </c>
      <c r="L60" s="1" t="s">
        <v>22</v>
      </c>
      <c r="M60" s="4">
        <v>44851</v>
      </c>
      <c r="N60" s="5">
        <v>149.99</v>
      </c>
      <c r="O60" s="1"/>
      <c r="P60" s="1"/>
      <c r="Q60" s="1"/>
      <c r="R60" s="1"/>
      <c r="S60" s="1"/>
      <c r="T60" s="1"/>
      <c r="U60" s="1"/>
      <c r="V60" s="1"/>
      <c r="W60" s="1"/>
      <c r="X60" s="1"/>
      <c r="Y60" s="1"/>
      <c r="Z60" s="1"/>
    </row>
    <row r="61" spans="1:26" ht="29.4" thickBot="1" x14ac:dyDescent="0.35">
      <c r="A61" s="1" t="s">
        <v>178</v>
      </c>
      <c r="B61" s="4">
        <v>45474</v>
      </c>
      <c r="C61" s="1" t="s">
        <v>132</v>
      </c>
      <c r="D61" s="1" t="s">
        <v>133</v>
      </c>
      <c r="E61" s="1" t="s">
        <v>117</v>
      </c>
      <c r="F61" s="1" t="s">
        <v>118</v>
      </c>
      <c r="G61" s="1" t="s">
        <v>19</v>
      </c>
      <c r="H61" s="5">
        <v>2</v>
      </c>
      <c r="I61" s="5">
        <v>89.99</v>
      </c>
      <c r="J61" s="1" t="s">
        <v>34</v>
      </c>
      <c r="K61" s="1" t="s">
        <v>21</v>
      </c>
      <c r="L61" s="1" t="s">
        <v>27</v>
      </c>
      <c r="M61" s="4">
        <v>45275</v>
      </c>
      <c r="N61" s="5">
        <v>179.98</v>
      </c>
      <c r="O61" s="1"/>
      <c r="P61" s="1"/>
      <c r="Q61" s="1"/>
      <c r="R61" s="1"/>
      <c r="S61" s="1"/>
      <c r="T61" s="1"/>
      <c r="U61" s="1"/>
      <c r="V61" s="1"/>
      <c r="W61" s="1"/>
      <c r="X61" s="1"/>
      <c r="Y61" s="1"/>
      <c r="Z61" s="1"/>
    </row>
    <row r="62" spans="1:26" ht="29.4" thickBot="1" x14ac:dyDescent="0.35">
      <c r="A62" s="1" t="s">
        <v>179</v>
      </c>
      <c r="B62" s="4">
        <v>45475</v>
      </c>
      <c r="C62" s="1" t="s">
        <v>55</v>
      </c>
      <c r="D62" s="1" t="s">
        <v>56</v>
      </c>
      <c r="E62" s="1" t="s">
        <v>117</v>
      </c>
      <c r="F62" s="1" t="s">
        <v>118</v>
      </c>
      <c r="G62" s="1" t="s">
        <v>19</v>
      </c>
      <c r="H62" s="5">
        <v>1</v>
      </c>
      <c r="I62" s="5">
        <v>89.99</v>
      </c>
      <c r="J62" s="1" t="s">
        <v>34</v>
      </c>
      <c r="K62" s="1" t="s">
        <v>50</v>
      </c>
      <c r="L62" s="1" t="s">
        <v>36</v>
      </c>
      <c r="M62" s="4">
        <v>44802</v>
      </c>
      <c r="N62" s="5">
        <v>89.99</v>
      </c>
      <c r="O62" s="1"/>
      <c r="P62" s="1"/>
      <c r="Q62" s="1"/>
      <c r="R62" s="1"/>
      <c r="S62" s="1"/>
      <c r="T62" s="1"/>
      <c r="U62" s="1"/>
      <c r="V62" s="1"/>
      <c r="W62" s="1"/>
      <c r="X62" s="1"/>
      <c r="Y62" s="1"/>
      <c r="Z62" s="1"/>
    </row>
    <row r="63" spans="1:26" ht="29.4" thickBot="1" x14ac:dyDescent="0.35">
      <c r="A63" s="1" t="s">
        <v>180</v>
      </c>
      <c r="B63" s="4">
        <v>45476</v>
      </c>
      <c r="C63" s="1" t="s">
        <v>68</v>
      </c>
      <c r="D63" s="1" t="s">
        <v>69</v>
      </c>
      <c r="E63" s="1" t="s">
        <v>117</v>
      </c>
      <c r="F63" s="1" t="s">
        <v>118</v>
      </c>
      <c r="G63" s="1" t="s">
        <v>19</v>
      </c>
      <c r="H63" s="5">
        <v>1</v>
      </c>
      <c r="I63" s="5">
        <v>89.99</v>
      </c>
      <c r="J63" s="1" t="s">
        <v>20</v>
      </c>
      <c r="K63" s="1" t="s">
        <v>35</v>
      </c>
      <c r="L63" s="1" t="s">
        <v>36</v>
      </c>
      <c r="M63" s="4">
        <v>44611</v>
      </c>
      <c r="N63" s="5">
        <v>89.99</v>
      </c>
      <c r="O63" s="1"/>
      <c r="P63" s="1"/>
      <c r="Q63" s="1"/>
      <c r="R63" s="1"/>
      <c r="S63" s="1"/>
      <c r="T63" s="1"/>
      <c r="U63" s="1"/>
      <c r="V63" s="1"/>
      <c r="W63" s="1"/>
      <c r="X63" s="1"/>
      <c r="Y63" s="1"/>
      <c r="Z63" s="1"/>
    </row>
    <row r="64" spans="1:26" ht="29.4" thickBot="1" x14ac:dyDescent="0.35">
      <c r="A64" s="1" t="s">
        <v>181</v>
      </c>
      <c r="B64" s="4">
        <v>45476</v>
      </c>
      <c r="C64" s="1" t="s">
        <v>182</v>
      </c>
      <c r="D64" s="1" t="s">
        <v>183</v>
      </c>
      <c r="E64" s="1" t="s">
        <v>114</v>
      </c>
      <c r="F64" s="1" t="s">
        <v>115</v>
      </c>
      <c r="G64" s="1" t="s">
        <v>33</v>
      </c>
      <c r="H64" s="5">
        <v>5</v>
      </c>
      <c r="I64" s="5">
        <v>79.989999999999995</v>
      </c>
      <c r="J64" s="1" t="s">
        <v>57</v>
      </c>
      <c r="K64" s="1" t="s">
        <v>21</v>
      </c>
      <c r="L64" s="1" t="s">
        <v>22</v>
      </c>
      <c r="M64" s="4">
        <v>44981</v>
      </c>
      <c r="N64" s="5">
        <v>399.95</v>
      </c>
      <c r="O64" s="1"/>
      <c r="P64" s="1"/>
      <c r="Q64" s="1"/>
      <c r="R64" s="1"/>
      <c r="S64" s="1"/>
      <c r="T64" s="1"/>
      <c r="U64" s="1"/>
      <c r="V64" s="1"/>
      <c r="W64" s="1"/>
      <c r="X64" s="1"/>
      <c r="Y64" s="1"/>
      <c r="Z64" s="1"/>
    </row>
    <row r="65" spans="1:26" ht="29.4" thickBot="1" x14ac:dyDescent="0.35">
      <c r="A65" s="1" t="s">
        <v>184</v>
      </c>
      <c r="B65" s="4">
        <v>45481</v>
      </c>
      <c r="C65" s="1" t="s">
        <v>185</v>
      </c>
      <c r="D65" s="1" t="s">
        <v>186</v>
      </c>
      <c r="E65" s="1" t="s">
        <v>44</v>
      </c>
      <c r="F65" s="1" t="s">
        <v>45</v>
      </c>
      <c r="G65" s="1" t="s">
        <v>46</v>
      </c>
      <c r="H65" s="5">
        <v>1</v>
      </c>
      <c r="I65" s="5">
        <v>149.99</v>
      </c>
      <c r="J65" s="1" t="s">
        <v>34</v>
      </c>
      <c r="K65" s="1" t="s">
        <v>40</v>
      </c>
      <c r="L65" s="1" t="s">
        <v>22</v>
      </c>
      <c r="M65" s="4">
        <v>44421</v>
      </c>
      <c r="N65" s="5">
        <v>149.99</v>
      </c>
      <c r="O65" s="1"/>
      <c r="P65" s="1"/>
      <c r="Q65" s="1"/>
      <c r="R65" s="1"/>
      <c r="S65" s="1"/>
      <c r="T65" s="1"/>
      <c r="U65" s="1"/>
      <c r="V65" s="1"/>
      <c r="W65" s="1"/>
      <c r="X65" s="1"/>
      <c r="Y65" s="1"/>
      <c r="Z65" s="1"/>
    </row>
    <row r="66" spans="1:26" ht="29.4" thickBot="1" x14ac:dyDescent="0.35">
      <c r="A66" s="1" t="s">
        <v>187</v>
      </c>
      <c r="B66" s="4">
        <v>45481</v>
      </c>
      <c r="C66" s="1" t="s">
        <v>42</v>
      </c>
      <c r="D66" s="1" t="s">
        <v>43</v>
      </c>
      <c r="E66" s="1" t="s">
        <v>80</v>
      </c>
      <c r="F66" s="1" t="s">
        <v>81</v>
      </c>
      <c r="G66" s="1" t="s">
        <v>19</v>
      </c>
      <c r="H66" s="5">
        <v>2</v>
      </c>
      <c r="I66" s="5">
        <v>699.99</v>
      </c>
      <c r="J66" s="1" t="s">
        <v>34</v>
      </c>
      <c r="K66" s="1" t="s">
        <v>63</v>
      </c>
      <c r="L66" s="1" t="s">
        <v>27</v>
      </c>
      <c r="M66" s="4">
        <v>45389</v>
      </c>
      <c r="N66" s="5">
        <v>1399.98</v>
      </c>
      <c r="O66" s="1"/>
      <c r="P66" s="1"/>
      <c r="Q66" s="1"/>
      <c r="R66" s="1"/>
      <c r="S66" s="1"/>
      <c r="T66" s="1"/>
      <c r="U66" s="1"/>
      <c r="V66" s="1"/>
      <c r="W66" s="1"/>
      <c r="X66" s="1"/>
      <c r="Y66" s="1"/>
      <c r="Z66" s="1"/>
    </row>
    <row r="67" spans="1:26" ht="29.4" thickBot="1" x14ac:dyDescent="0.35">
      <c r="A67" s="1" t="s">
        <v>188</v>
      </c>
      <c r="B67" s="4">
        <v>45481</v>
      </c>
      <c r="C67" s="1" t="s">
        <v>96</v>
      </c>
      <c r="D67" s="1" t="s">
        <v>97</v>
      </c>
      <c r="E67" s="1" t="s">
        <v>117</v>
      </c>
      <c r="F67" s="1" t="s">
        <v>118</v>
      </c>
      <c r="G67" s="1" t="s">
        <v>19</v>
      </c>
      <c r="H67" s="5">
        <v>5</v>
      </c>
      <c r="I67" s="5">
        <v>89.99</v>
      </c>
      <c r="J67" s="1" t="s">
        <v>57</v>
      </c>
      <c r="K67" s="1" t="s">
        <v>40</v>
      </c>
      <c r="L67" s="1" t="s">
        <v>27</v>
      </c>
      <c r="M67" s="4">
        <v>45161</v>
      </c>
      <c r="N67" s="5">
        <v>449.95</v>
      </c>
      <c r="O67" s="1"/>
      <c r="P67" s="1"/>
      <c r="Q67" s="1"/>
      <c r="R67" s="1"/>
      <c r="S67" s="1"/>
      <c r="T67" s="1"/>
      <c r="U67" s="1"/>
      <c r="V67" s="1"/>
      <c r="W67" s="1"/>
      <c r="X67" s="1"/>
      <c r="Y67" s="1"/>
      <c r="Z67" s="1"/>
    </row>
    <row r="68" spans="1:26" ht="29.4" thickBot="1" x14ac:dyDescent="0.35">
      <c r="A68" s="1" t="s">
        <v>189</v>
      </c>
      <c r="B68" s="4">
        <v>45482</v>
      </c>
      <c r="C68" s="1" t="s">
        <v>171</v>
      </c>
      <c r="D68" s="1" t="s">
        <v>172</v>
      </c>
      <c r="E68" s="1" t="s">
        <v>31</v>
      </c>
      <c r="F68" s="1" t="s">
        <v>32</v>
      </c>
      <c r="G68" s="1" t="s">
        <v>33</v>
      </c>
      <c r="H68" s="5">
        <v>4</v>
      </c>
      <c r="I68" s="5">
        <v>59.99</v>
      </c>
      <c r="J68" s="1" t="s">
        <v>20</v>
      </c>
      <c r="K68" s="1" t="s">
        <v>35</v>
      </c>
      <c r="L68" s="1" t="s">
        <v>36</v>
      </c>
      <c r="M68" s="4">
        <v>44509</v>
      </c>
      <c r="N68" s="5">
        <v>239.96</v>
      </c>
      <c r="O68" s="1"/>
      <c r="P68" s="1"/>
      <c r="Q68" s="1"/>
      <c r="R68" s="1"/>
      <c r="S68" s="1"/>
      <c r="T68" s="1"/>
      <c r="U68" s="1"/>
      <c r="V68" s="1"/>
      <c r="W68" s="1"/>
      <c r="X68" s="1"/>
      <c r="Y68" s="1"/>
      <c r="Z68" s="1"/>
    </row>
    <row r="69" spans="1:26" ht="29.4" thickBot="1" x14ac:dyDescent="0.35">
      <c r="A69" s="1" t="s">
        <v>190</v>
      </c>
      <c r="B69" s="4">
        <v>45484</v>
      </c>
      <c r="C69" s="1" t="s">
        <v>24</v>
      </c>
      <c r="D69" s="1" t="s">
        <v>25</v>
      </c>
      <c r="E69" s="1" t="s">
        <v>52</v>
      </c>
      <c r="F69" s="1" t="s">
        <v>53</v>
      </c>
      <c r="G69" s="1" t="s">
        <v>19</v>
      </c>
      <c r="H69" s="5">
        <v>1</v>
      </c>
      <c r="I69" s="5">
        <v>149.99</v>
      </c>
      <c r="J69" s="1" t="s">
        <v>20</v>
      </c>
      <c r="K69" s="1" t="s">
        <v>21</v>
      </c>
      <c r="L69" s="1" t="s">
        <v>36</v>
      </c>
      <c r="M69" s="4">
        <v>44909</v>
      </c>
      <c r="N69" s="5">
        <v>149.99</v>
      </c>
      <c r="O69" s="1"/>
      <c r="P69" s="1"/>
      <c r="Q69" s="1"/>
      <c r="R69" s="1"/>
      <c r="S69" s="1"/>
      <c r="T69" s="1"/>
      <c r="U69" s="1"/>
      <c r="V69" s="1"/>
      <c r="W69" s="1"/>
      <c r="X69" s="1"/>
      <c r="Y69" s="1"/>
      <c r="Z69" s="1"/>
    </row>
    <row r="70" spans="1:26" ht="29.4" thickBot="1" x14ac:dyDescent="0.35">
      <c r="A70" s="1" t="s">
        <v>191</v>
      </c>
      <c r="B70" s="4">
        <v>45484</v>
      </c>
      <c r="C70" s="1" t="s">
        <v>192</v>
      </c>
      <c r="D70" s="1" t="s">
        <v>193</v>
      </c>
      <c r="E70" s="1" t="s">
        <v>105</v>
      </c>
      <c r="F70" s="1" t="s">
        <v>106</v>
      </c>
      <c r="G70" s="1" t="s">
        <v>46</v>
      </c>
      <c r="H70" s="5">
        <v>1</v>
      </c>
      <c r="I70" s="5">
        <v>299.99</v>
      </c>
      <c r="J70" s="1" t="s">
        <v>26</v>
      </c>
      <c r="K70" s="1" t="s">
        <v>40</v>
      </c>
      <c r="L70" s="1" t="s">
        <v>27</v>
      </c>
      <c r="M70" s="4">
        <v>44891</v>
      </c>
      <c r="N70" s="5">
        <v>299.99</v>
      </c>
      <c r="O70" s="1"/>
      <c r="P70" s="1"/>
      <c r="Q70" s="1"/>
      <c r="R70" s="1"/>
      <c r="S70" s="1"/>
      <c r="T70" s="1"/>
      <c r="U70" s="1"/>
      <c r="V70" s="1"/>
      <c r="W70" s="1"/>
      <c r="X70" s="1"/>
      <c r="Y70" s="1"/>
      <c r="Z70" s="1"/>
    </row>
    <row r="71" spans="1:26" ht="29.4" thickBot="1" x14ac:dyDescent="0.35">
      <c r="A71" s="1" t="s">
        <v>194</v>
      </c>
      <c r="B71" s="4">
        <v>45487</v>
      </c>
      <c r="C71" s="1" t="s">
        <v>192</v>
      </c>
      <c r="D71" s="1" t="s">
        <v>193</v>
      </c>
      <c r="E71" s="1" t="s">
        <v>126</v>
      </c>
      <c r="F71" s="1" t="s">
        <v>127</v>
      </c>
      <c r="G71" s="1" t="s">
        <v>46</v>
      </c>
      <c r="H71" s="5">
        <v>2</v>
      </c>
      <c r="I71" s="5">
        <v>199.99</v>
      </c>
      <c r="J71" s="1" t="s">
        <v>20</v>
      </c>
      <c r="K71" s="1" t="s">
        <v>40</v>
      </c>
      <c r="L71" s="1" t="s">
        <v>22</v>
      </c>
      <c r="M71" s="4">
        <v>44541</v>
      </c>
      <c r="N71" s="5">
        <v>399.98</v>
      </c>
      <c r="O71" s="1"/>
      <c r="P71" s="1"/>
      <c r="Q71" s="1"/>
      <c r="R71" s="1"/>
      <c r="S71" s="1"/>
      <c r="T71" s="1"/>
      <c r="U71" s="1"/>
      <c r="V71" s="1"/>
      <c r="W71" s="1"/>
      <c r="X71" s="1"/>
      <c r="Y71" s="1"/>
      <c r="Z71" s="1"/>
    </row>
    <row r="72" spans="1:26" ht="29.4" thickBot="1" x14ac:dyDescent="0.35">
      <c r="A72" s="1" t="s">
        <v>195</v>
      </c>
      <c r="B72" s="4">
        <v>45490</v>
      </c>
      <c r="C72" s="1" t="s">
        <v>196</v>
      </c>
      <c r="D72" s="1" t="s">
        <v>197</v>
      </c>
      <c r="E72" s="1" t="s">
        <v>31</v>
      </c>
      <c r="F72" s="1" t="s">
        <v>32</v>
      </c>
      <c r="G72" s="1" t="s">
        <v>33</v>
      </c>
      <c r="H72" s="5">
        <v>3</v>
      </c>
      <c r="I72" s="5">
        <v>59.99</v>
      </c>
      <c r="J72" s="1" t="s">
        <v>26</v>
      </c>
      <c r="K72" s="1" t="s">
        <v>50</v>
      </c>
      <c r="L72" s="1" t="s">
        <v>22</v>
      </c>
      <c r="M72" s="4">
        <v>45130</v>
      </c>
      <c r="N72" s="5">
        <v>179.97</v>
      </c>
      <c r="O72" s="1"/>
      <c r="P72" s="1"/>
      <c r="Q72" s="1"/>
      <c r="R72" s="1"/>
      <c r="S72" s="1"/>
      <c r="T72" s="1"/>
      <c r="U72" s="1"/>
      <c r="V72" s="1"/>
      <c r="W72" s="1"/>
      <c r="X72" s="1"/>
      <c r="Y72" s="1"/>
      <c r="Z72" s="1"/>
    </row>
    <row r="73" spans="1:26" ht="43.8" thickBot="1" x14ac:dyDescent="0.35">
      <c r="A73" s="1" t="s">
        <v>198</v>
      </c>
      <c r="B73" s="4">
        <v>45490</v>
      </c>
      <c r="C73" s="1" t="s">
        <v>72</v>
      </c>
      <c r="D73" s="1" t="s">
        <v>73</v>
      </c>
      <c r="E73" s="1" t="s">
        <v>44</v>
      </c>
      <c r="F73" s="1" t="s">
        <v>45</v>
      </c>
      <c r="G73" s="1" t="s">
        <v>46</v>
      </c>
      <c r="H73" s="5">
        <v>3</v>
      </c>
      <c r="I73" s="5">
        <v>149.99</v>
      </c>
      <c r="J73" s="1" t="s">
        <v>20</v>
      </c>
      <c r="K73" s="1" t="s">
        <v>21</v>
      </c>
      <c r="L73" s="1" t="s">
        <v>27</v>
      </c>
      <c r="M73" s="4">
        <v>45199</v>
      </c>
      <c r="N73" s="5">
        <v>449.97</v>
      </c>
      <c r="O73" s="1"/>
      <c r="P73" s="1"/>
      <c r="Q73" s="1"/>
      <c r="R73" s="1"/>
      <c r="S73" s="1"/>
      <c r="T73" s="1"/>
      <c r="U73" s="1"/>
      <c r="V73" s="1"/>
      <c r="W73" s="1"/>
      <c r="X73" s="1"/>
      <c r="Y73" s="1"/>
      <c r="Z73" s="1"/>
    </row>
    <row r="74" spans="1:26" ht="29.4" thickBot="1" x14ac:dyDescent="0.35">
      <c r="A74" s="1" t="s">
        <v>199</v>
      </c>
      <c r="B74" s="4">
        <v>45491</v>
      </c>
      <c r="C74" s="1" t="s">
        <v>65</v>
      </c>
      <c r="D74" s="1" t="s">
        <v>66</v>
      </c>
      <c r="E74" s="1" t="s">
        <v>126</v>
      </c>
      <c r="F74" s="1" t="s">
        <v>127</v>
      </c>
      <c r="G74" s="1" t="s">
        <v>46</v>
      </c>
      <c r="H74" s="5">
        <v>3</v>
      </c>
      <c r="I74" s="5">
        <v>199.99</v>
      </c>
      <c r="J74" s="1" t="s">
        <v>20</v>
      </c>
      <c r="K74" s="1" t="s">
        <v>40</v>
      </c>
      <c r="L74" s="1" t="s">
        <v>27</v>
      </c>
      <c r="M74" s="4">
        <v>45254</v>
      </c>
      <c r="N74" s="5">
        <v>599.97</v>
      </c>
      <c r="O74" s="1"/>
      <c r="P74" s="1"/>
      <c r="Q74" s="1"/>
      <c r="R74" s="1"/>
      <c r="S74" s="1"/>
      <c r="T74" s="1"/>
      <c r="U74" s="1"/>
      <c r="V74" s="1"/>
      <c r="W74" s="1"/>
      <c r="X74" s="1"/>
      <c r="Y74" s="1"/>
      <c r="Z74" s="1"/>
    </row>
    <row r="75" spans="1:26" ht="29.4" thickBot="1" x14ac:dyDescent="0.35">
      <c r="A75" s="1" t="s">
        <v>200</v>
      </c>
      <c r="B75" s="4">
        <v>45496</v>
      </c>
      <c r="C75" s="1" t="s">
        <v>150</v>
      </c>
      <c r="D75" s="1" t="s">
        <v>151</v>
      </c>
      <c r="E75" s="1" t="s">
        <v>61</v>
      </c>
      <c r="F75" s="1" t="s">
        <v>62</v>
      </c>
      <c r="G75" s="1" t="s">
        <v>19</v>
      </c>
      <c r="H75" s="5">
        <v>1</v>
      </c>
      <c r="I75" s="5">
        <v>899.99</v>
      </c>
      <c r="J75" s="1" t="s">
        <v>20</v>
      </c>
      <c r="K75" s="1" t="s">
        <v>21</v>
      </c>
      <c r="L75" s="1" t="s">
        <v>36</v>
      </c>
      <c r="M75" s="4">
        <v>45179</v>
      </c>
      <c r="N75" s="5">
        <v>899.99</v>
      </c>
      <c r="O75" s="1"/>
      <c r="P75" s="1"/>
      <c r="Q75" s="1"/>
      <c r="R75" s="1"/>
      <c r="S75" s="1"/>
      <c r="T75" s="1"/>
      <c r="U75" s="1"/>
      <c r="V75" s="1"/>
      <c r="W75" s="1"/>
      <c r="X75" s="1"/>
      <c r="Y75" s="1"/>
      <c r="Z75" s="1"/>
    </row>
    <row r="76" spans="1:26" ht="29.4" thickBot="1" x14ac:dyDescent="0.35">
      <c r="A76" s="1" t="s">
        <v>201</v>
      </c>
      <c r="B76" s="4">
        <v>45497</v>
      </c>
      <c r="C76" s="1" t="s">
        <v>24</v>
      </c>
      <c r="D76" s="1" t="s">
        <v>25</v>
      </c>
      <c r="E76" s="1" t="s">
        <v>61</v>
      </c>
      <c r="F76" s="1" t="s">
        <v>62</v>
      </c>
      <c r="G76" s="1" t="s">
        <v>19</v>
      </c>
      <c r="H76" s="5">
        <v>5</v>
      </c>
      <c r="I76" s="5">
        <v>899.99</v>
      </c>
      <c r="J76" s="1" t="s">
        <v>57</v>
      </c>
      <c r="K76" s="1" t="s">
        <v>35</v>
      </c>
      <c r="L76" s="1" t="s">
        <v>36</v>
      </c>
      <c r="M76" s="4">
        <v>44899</v>
      </c>
      <c r="N76" s="5">
        <v>4499.95</v>
      </c>
      <c r="O76" s="1"/>
      <c r="P76" s="1"/>
      <c r="Q76" s="1"/>
      <c r="R76" s="1"/>
      <c r="S76" s="1"/>
      <c r="T76" s="1"/>
      <c r="U76" s="1"/>
      <c r="V76" s="1"/>
      <c r="W76" s="1"/>
      <c r="X76" s="1"/>
      <c r="Y76" s="1"/>
      <c r="Z76" s="1"/>
    </row>
    <row r="77" spans="1:26" ht="29.4" thickBot="1" x14ac:dyDescent="0.35">
      <c r="A77" s="1" t="s">
        <v>202</v>
      </c>
      <c r="B77" s="4">
        <v>45498</v>
      </c>
      <c r="C77" s="1" t="s">
        <v>182</v>
      </c>
      <c r="D77" s="1" t="s">
        <v>183</v>
      </c>
      <c r="E77" s="1" t="s">
        <v>31</v>
      </c>
      <c r="F77" s="1" t="s">
        <v>32</v>
      </c>
      <c r="G77" s="1" t="s">
        <v>33</v>
      </c>
      <c r="H77" s="5">
        <v>2</v>
      </c>
      <c r="I77" s="5">
        <v>59.99</v>
      </c>
      <c r="J77" s="1" t="s">
        <v>20</v>
      </c>
      <c r="K77" s="1" t="s">
        <v>40</v>
      </c>
      <c r="L77" s="1" t="s">
        <v>36</v>
      </c>
      <c r="M77" s="4">
        <v>45152</v>
      </c>
      <c r="N77" s="5">
        <v>119.98</v>
      </c>
      <c r="O77" s="1"/>
      <c r="P77" s="1"/>
      <c r="Q77" s="1"/>
      <c r="R77" s="1"/>
      <c r="S77" s="1"/>
      <c r="T77" s="1"/>
      <c r="U77" s="1"/>
      <c r="V77" s="1"/>
      <c r="W77" s="1"/>
      <c r="X77" s="1"/>
      <c r="Y77" s="1"/>
      <c r="Z77" s="1"/>
    </row>
    <row r="78" spans="1:26" ht="29.4" thickBot="1" x14ac:dyDescent="0.35">
      <c r="A78" s="1" t="s">
        <v>203</v>
      </c>
      <c r="B78" s="4">
        <v>45498</v>
      </c>
      <c r="C78" s="1" t="s">
        <v>196</v>
      </c>
      <c r="D78" s="1" t="s">
        <v>197</v>
      </c>
      <c r="E78" s="1" t="s">
        <v>17</v>
      </c>
      <c r="F78" s="1" t="s">
        <v>18</v>
      </c>
      <c r="G78" s="1" t="s">
        <v>19</v>
      </c>
      <c r="H78" s="5">
        <v>4</v>
      </c>
      <c r="I78" s="5">
        <v>249.99</v>
      </c>
      <c r="J78" s="1" t="s">
        <v>57</v>
      </c>
      <c r="K78" s="1" t="s">
        <v>21</v>
      </c>
      <c r="L78" s="1" t="s">
        <v>36</v>
      </c>
      <c r="M78" s="4">
        <v>45127</v>
      </c>
      <c r="N78" s="5">
        <v>999.96</v>
      </c>
      <c r="O78" s="1"/>
      <c r="P78" s="1"/>
      <c r="Q78" s="1"/>
      <c r="R78" s="1"/>
      <c r="S78" s="1"/>
      <c r="T78" s="1"/>
      <c r="U78" s="1"/>
      <c r="V78" s="1"/>
      <c r="W78" s="1"/>
      <c r="X78" s="1"/>
      <c r="Y78" s="1"/>
      <c r="Z78" s="1"/>
    </row>
    <row r="79" spans="1:26" ht="29.4" thickBot="1" x14ac:dyDescent="0.35">
      <c r="A79" s="1" t="s">
        <v>204</v>
      </c>
      <c r="B79" s="4">
        <v>45500</v>
      </c>
      <c r="C79" s="1" t="s">
        <v>96</v>
      </c>
      <c r="D79" s="1" t="s">
        <v>97</v>
      </c>
      <c r="E79" s="1" t="s">
        <v>17</v>
      </c>
      <c r="F79" s="1" t="s">
        <v>18</v>
      </c>
      <c r="G79" s="1" t="s">
        <v>19</v>
      </c>
      <c r="H79" s="5">
        <v>2</v>
      </c>
      <c r="I79" s="5">
        <v>249.99</v>
      </c>
      <c r="J79" s="1" t="s">
        <v>20</v>
      </c>
      <c r="K79" s="1" t="s">
        <v>40</v>
      </c>
      <c r="L79" s="1" t="s">
        <v>27</v>
      </c>
      <c r="M79" s="4">
        <v>45164</v>
      </c>
      <c r="N79" s="5">
        <v>499.98</v>
      </c>
      <c r="O79" s="1"/>
      <c r="P79" s="1"/>
      <c r="Q79" s="1"/>
      <c r="R79" s="1"/>
      <c r="S79" s="1"/>
      <c r="T79" s="1"/>
      <c r="U79" s="1"/>
      <c r="V79" s="1"/>
      <c r="W79" s="1"/>
      <c r="X79" s="1"/>
      <c r="Y79" s="1"/>
      <c r="Z79" s="1"/>
    </row>
    <row r="80" spans="1:26" ht="29.4" thickBot="1" x14ac:dyDescent="0.35">
      <c r="A80" s="1" t="s">
        <v>205</v>
      </c>
      <c r="B80" s="4">
        <v>45500</v>
      </c>
      <c r="C80" s="1" t="s">
        <v>147</v>
      </c>
      <c r="D80" s="1" t="s">
        <v>148</v>
      </c>
      <c r="E80" s="1" t="s">
        <v>105</v>
      </c>
      <c r="F80" s="1" t="s">
        <v>106</v>
      </c>
      <c r="G80" s="1" t="s">
        <v>46</v>
      </c>
      <c r="H80" s="5">
        <v>1</v>
      </c>
      <c r="I80" s="5">
        <v>299.99</v>
      </c>
      <c r="J80" s="1" t="s">
        <v>20</v>
      </c>
      <c r="K80" s="1" t="s">
        <v>35</v>
      </c>
      <c r="L80" s="1" t="s">
        <v>22</v>
      </c>
      <c r="M80" s="4">
        <v>44982</v>
      </c>
      <c r="N80" s="5">
        <v>299.99</v>
      </c>
      <c r="O80" s="1"/>
      <c r="P80" s="1"/>
      <c r="Q80" s="1"/>
      <c r="R80" s="1"/>
      <c r="S80" s="1"/>
      <c r="T80" s="1"/>
      <c r="U80" s="1"/>
      <c r="V80" s="1"/>
      <c r="W80" s="1"/>
      <c r="X80" s="1"/>
      <c r="Y80" s="1"/>
      <c r="Z80" s="1"/>
    </row>
    <row r="81" spans="1:26" ht="29.4" thickBot="1" x14ac:dyDescent="0.35">
      <c r="A81" s="1" t="s">
        <v>206</v>
      </c>
      <c r="B81" s="4">
        <v>45501</v>
      </c>
      <c r="C81" s="1" t="s">
        <v>86</v>
      </c>
      <c r="D81" s="1" t="s">
        <v>87</v>
      </c>
      <c r="E81" s="1" t="s">
        <v>117</v>
      </c>
      <c r="F81" s="1" t="s">
        <v>118</v>
      </c>
      <c r="G81" s="1" t="s">
        <v>19</v>
      </c>
      <c r="H81" s="5">
        <v>2</v>
      </c>
      <c r="I81" s="5">
        <v>89.99</v>
      </c>
      <c r="J81" s="1" t="s">
        <v>34</v>
      </c>
      <c r="K81" s="1" t="s">
        <v>35</v>
      </c>
      <c r="L81" s="1" t="s">
        <v>22</v>
      </c>
      <c r="M81" s="4">
        <v>44976</v>
      </c>
      <c r="N81" s="5">
        <v>179.98</v>
      </c>
      <c r="O81" s="1"/>
      <c r="P81" s="1"/>
      <c r="Q81" s="1"/>
      <c r="R81" s="1"/>
      <c r="S81" s="1"/>
      <c r="T81" s="1"/>
      <c r="U81" s="1"/>
      <c r="V81" s="1"/>
      <c r="W81" s="1"/>
      <c r="X81" s="1"/>
      <c r="Y81" s="1"/>
      <c r="Z81" s="1"/>
    </row>
    <row r="82" spans="1:26" ht="29.4" thickBot="1" x14ac:dyDescent="0.35">
      <c r="A82" s="1" t="s">
        <v>207</v>
      </c>
      <c r="B82" s="4">
        <v>45501</v>
      </c>
      <c r="C82" s="1" t="s">
        <v>147</v>
      </c>
      <c r="D82" s="1" t="s">
        <v>148</v>
      </c>
      <c r="E82" s="1" t="s">
        <v>105</v>
      </c>
      <c r="F82" s="1" t="s">
        <v>106</v>
      </c>
      <c r="G82" s="1" t="s">
        <v>46</v>
      </c>
      <c r="H82" s="5">
        <v>3</v>
      </c>
      <c r="I82" s="5">
        <v>299.99</v>
      </c>
      <c r="J82" s="1" t="s">
        <v>20</v>
      </c>
      <c r="K82" s="1" t="s">
        <v>21</v>
      </c>
      <c r="L82" s="1" t="s">
        <v>22</v>
      </c>
      <c r="M82" s="4">
        <v>44732</v>
      </c>
      <c r="N82" s="5">
        <v>899.97</v>
      </c>
      <c r="O82" s="1"/>
      <c r="P82" s="1"/>
      <c r="Q82" s="1"/>
      <c r="R82" s="1"/>
      <c r="S82" s="1"/>
      <c r="T82" s="1"/>
      <c r="U82" s="1"/>
      <c r="V82" s="1"/>
      <c r="W82" s="1"/>
      <c r="X82" s="1"/>
      <c r="Y82" s="1"/>
      <c r="Z82" s="1"/>
    </row>
    <row r="83" spans="1:26" ht="29.4" thickBot="1" x14ac:dyDescent="0.35">
      <c r="A83" s="1" t="s">
        <v>208</v>
      </c>
      <c r="B83" s="4">
        <v>45503</v>
      </c>
      <c r="C83" s="1" t="s">
        <v>86</v>
      </c>
      <c r="D83" s="1" t="s">
        <v>87</v>
      </c>
      <c r="E83" s="1" t="s">
        <v>80</v>
      </c>
      <c r="F83" s="1" t="s">
        <v>81</v>
      </c>
      <c r="G83" s="1" t="s">
        <v>19</v>
      </c>
      <c r="H83" s="5">
        <v>2</v>
      </c>
      <c r="I83" s="5">
        <v>699.99</v>
      </c>
      <c r="J83" s="1" t="s">
        <v>26</v>
      </c>
      <c r="K83" s="1" t="s">
        <v>40</v>
      </c>
      <c r="L83" s="1" t="s">
        <v>27</v>
      </c>
      <c r="M83" s="4">
        <v>44999</v>
      </c>
      <c r="N83" s="5">
        <v>1399.98</v>
      </c>
      <c r="O83" s="1"/>
      <c r="P83" s="1"/>
      <c r="Q83" s="1"/>
      <c r="R83" s="1"/>
      <c r="S83" s="1"/>
      <c r="T83" s="1"/>
      <c r="U83" s="1"/>
      <c r="V83" s="1"/>
      <c r="W83" s="1"/>
      <c r="X83" s="1"/>
      <c r="Y83" s="1"/>
      <c r="Z83" s="1"/>
    </row>
    <row r="84" spans="1:26" ht="29.4" thickBot="1" x14ac:dyDescent="0.35">
      <c r="A84" s="1" t="s">
        <v>209</v>
      </c>
      <c r="B84" s="4">
        <v>45504</v>
      </c>
      <c r="C84" s="1" t="s">
        <v>120</v>
      </c>
      <c r="D84" s="1" t="s">
        <v>121</v>
      </c>
      <c r="E84" s="1" t="s">
        <v>61</v>
      </c>
      <c r="F84" s="1" t="s">
        <v>62</v>
      </c>
      <c r="G84" s="1" t="s">
        <v>19</v>
      </c>
      <c r="H84" s="5">
        <v>4</v>
      </c>
      <c r="I84" s="5">
        <v>899.99</v>
      </c>
      <c r="J84" s="1" t="s">
        <v>57</v>
      </c>
      <c r="K84" s="1" t="s">
        <v>35</v>
      </c>
      <c r="L84" s="1" t="s">
        <v>36</v>
      </c>
      <c r="M84" s="4">
        <v>44523</v>
      </c>
      <c r="N84" s="5">
        <v>3599.96</v>
      </c>
      <c r="O84" s="1"/>
      <c r="P84" s="1"/>
      <c r="Q84" s="1"/>
      <c r="R84" s="1"/>
      <c r="S84" s="1"/>
      <c r="T84" s="1"/>
      <c r="U84" s="1"/>
      <c r="V84" s="1"/>
      <c r="W84" s="1"/>
      <c r="X84" s="1"/>
      <c r="Y84" s="1"/>
      <c r="Z84" s="1"/>
    </row>
    <row r="85" spans="1:26" ht="29.4" thickBot="1" x14ac:dyDescent="0.35">
      <c r="A85" s="1" t="s">
        <v>210</v>
      </c>
      <c r="B85" s="4">
        <v>45509</v>
      </c>
      <c r="C85" s="1" t="s">
        <v>211</v>
      </c>
      <c r="D85" s="1" t="s">
        <v>212</v>
      </c>
      <c r="E85" s="1" t="s">
        <v>44</v>
      </c>
      <c r="F85" s="1" t="s">
        <v>45</v>
      </c>
      <c r="G85" s="1" t="s">
        <v>46</v>
      </c>
      <c r="H85" s="5">
        <v>2</v>
      </c>
      <c r="I85" s="5">
        <v>149.99</v>
      </c>
      <c r="J85" s="1" t="s">
        <v>26</v>
      </c>
      <c r="K85" s="1" t="s">
        <v>50</v>
      </c>
      <c r="L85" s="1" t="s">
        <v>22</v>
      </c>
      <c r="M85" s="4">
        <v>44542</v>
      </c>
      <c r="N85" s="5">
        <v>299.98</v>
      </c>
      <c r="O85" s="1"/>
      <c r="P85" s="1"/>
      <c r="Q85" s="1"/>
      <c r="R85" s="1"/>
      <c r="S85" s="1"/>
      <c r="T85" s="1"/>
      <c r="U85" s="1"/>
      <c r="V85" s="1"/>
      <c r="W85" s="1"/>
      <c r="X85" s="1"/>
      <c r="Y85" s="1"/>
      <c r="Z85" s="1"/>
    </row>
    <row r="86" spans="1:26" ht="29.4" thickBot="1" x14ac:dyDescent="0.35">
      <c r="A86" s="1" t="s">
        <v>213</v>
      </c>
      <c r="B86" s="4">
        <v>45510</v>
      </c>
      <c r="C86" s="1" t="s">
        <v>102</v>
      </c>
      <c r="D86" s="1" t="s">
        <v>103</v>
      </c>
      <c r="E86" s="1" t="s">
        <v>44</v>
      </c>
      <c r="F86" s="1" t="s">
        <v>45</v>
      </c>
      <c r="G86" s="1" t="s">
        <v>46</v>
      </c>
      <c r="H86" s="5">
        <v>2</v>
      </c>
      <c r="I86" s="5">
        <v>149.99</v>
      </c>
      <c r="J86" s="1" t="s">
        <v>57</v>
      </c>
      <c r="K86" s="1" t="s">
        <v>63</v>
      </c>
      <c r="L86" s="1" t="s">
        <v>36</v>
      </c>
      <c r="M86" s="4">
        <v>44667</v>
      </c>
      <c r="N86" s="5">
        <v>299.98</v>
      </c>
      <c r="O86" s="1"/>
      <c r="P86" s="1"/>
      <c r="Q86" s="1"/>
      <c r="R86" s="1"/>
      <c r="S86" s="1"/>
      <c r="T86" s="1"/>
      <c r="U86" s="1"/>
      <c r="V86" s="1"/>
      <c r="W86" s="1"/>
      <c r="X86" s="1"/>
      <c r="Y86" s="1"/>
      <c r="Z86" s="1"/>
    </row>
    <row r="87" spans="1:26" ht="29.4" thickBot="1" x14ac:dyDescent="0.35">
      <c r="A87" s="1" t="s">
        <v>214</v>
      </c>
      <c r="B87" s="4">
        <v>45513</v>
      </c>
      <c r="C87" s="1" t="s">
        <v>89</v>
      </c>
      <c r="D87" s="1" t="s">
        <v>90</v>
      </c>
      <c r="E87" s="1" t="s">
        <v>117</v>
      </c>
      <c r="F87" s="1" t="s">
        <v>118</v>
      </c>
      <c r="G87" s="1" t="s">
        <v>19</v>
      </c>
      <c r="H87" s="5">
        <v>1</v>
      </c>
      <c r="I87" s="5">
        <v>89.99</v>
      </c>
      <c r="J87" s="1" t="s">
        <v>26</v>
      </c>
      <c r="K87" s="1" t="s">
        <v>40</v>
      </c>
      <c r="L87" s="1" t="s">
        <v>36</v>
      </c>
      <c r="M87" s="4">
        <v>45393</v>
      </c>
      <c r="N87" s="5">
        <v>89.99</v>
      </c>
      <c r="O87" s="1"/>
      <c r="P87" s="1"/>
      <c r="Q87" s="1"/>
      <c r="R87" s="1"/>
      <c r="S87" s="1"/>
      <c r="T87" s="1"/>
      <c r="U87" s="1"/>
      <c r="V87" s="1"/>
      <c r="W87" s="1"/>
      <c r="X87" s="1"/>
      <c r="Y87" s="1"/>
      <c r="Z87" s="1"/>
    </row>
    <row r="88" spans="1:26" ht="29.4" thickBot="1" x14ac:dyDescent="0.35">
      <c r="A88" s="1" t="s">
        <v>215</v>
      </c>
      <c r="B88" s="4">
        <v>45515</v>
      </c>
      <c r="C88" s="1" t="s">
        <v>86</v>
      </c>
      <c r="D88" s="1" t="s">
        <v>87</v>
      </c>
      <c r="E88" s="1" t="s">
        <v>105</v>
      </c>
      <c r="F88" s="1" t="s">
        <v>106</v>
      </c>
      <c r="G88" s="1" t="s">
        <v>46</v>
      </c>
      <c r="H88" s="5">
        <v>5</v>
      </c>
      <c r="I88" s="5">
        <v>299.99</v>
      </c>
      <c r="J88" s="1" t="s">
        <v>26</v>
      </c>
      <c r="K88" s="1" t="s">
        <v>40</v>
      </c>
      <c r="L88" s="1" t="s">
        <v>22</v>
      </c>
      <c r="M88" s="4">
        <v>44965</v>
      </c>
      <c r="N88" s="5">
        <v>1499.95</v>
      </c>
      <c r="O88" s="1"/>
      <c r="P88" s="1"/>
      <c r="Q88" s="1"/>
      <c r="R88" s="1"/>
      <c r="S88" s="1"/>
      <c r="T88" s="1"/>
      <c r="U88" s="1"/>
      <c r="V88" s="1"/>
      <c r="W88" s="1"/>
      <c r="X88" s="1"/>
      <c r="Y88" s="1"/>
      <c r="Z88" s="1"/>
    </row>
    <row r="89" spans="1:26" ht="29.4" thickBot="1" x14ac:dyDescent="0.35">
      <c r="A89" s="1" t="s">
        <v>216</v>
      </c>
      <c r="B89" s="4">
        <v>45517</v>
      </c>
      <c r="C89" s="1" t="s">
        <v>182</v>
      </c>
      <c r="D89" s="1" t="s">
        <v>183</v>
      </c>
      <c r="E89" s="1" t="s">
        <v>52</v>
      </c>
      <c r="F89" s="1" t="s">
        <v>53</v>
      </c>
      <c r="G89" s="1" t="s">
        <v>19</v>
      </c>
      <c r="H89" s="5">
        <v>4</v>
      </c>
      <c r="I89" s="5">
        <v>149.99</v>
      </c>
      <c r="J89" s="1" t="s">
        <v>57</v>
      </c>
      <c r="K89" s="1" t="s">
        <v>35</v>
      </c>
      <c r="L89" s="1" t="s">
        <v>27</v>
      </c>
      <c r="M89" s="4">
        <v>44820</v>
      </c>
      <c r="N89" s="5">
        <v>599.96</v>
      </c>
      <c r="O89" s="1"/>
      <c r="P89" s="1"/>
      <c r="Q89" s="1"/>
      <c r="R89" s="1"/>
      <c r="S89" s="1"/>
      <c r="T89" s="1"/>
      <c r="U89" s="1"/>
      <c r="V89" s="1"/>
      <c r="W89" s="1"/>
      <c r="X89" s="1"/>
      <c r="Y89" s="1"/>
      <c r="Z89" s="1"/>
    </row>
    <row r="90" spans="1:26" ht="29.4" thickBot="1" x14ac:dyDescent="0.35">
      <c r="A90" s="1" t="s">
        <v>217</v>
      </c>
      <c r="B90" s="4">
        <v>45517</v>
      </c>
      <c r="C90" s="1" t="s">
        <v>185</v>
      </c>
      <c r="D90" s="1" t="s">
        <v>186</v>
      </c>
      <c r="E90" s="1" t="s">
        <v>17</v>
      </c>
      <c r="F90" s="1" t="s">
        <v>18</v>
      </c>
      <c r="G90" s="1" t="s">
        <v>19</v>
      </c>
      <c r="H90" s="5">
        <v>5</v>
      </c>
      <c r="I90" s="5">
        <v>249.99</v>
      </c>
      <c r="J90" s="1" t="s">
        <v>34</v>
      </c>
      <c r="K90" s="1" t="s">
        <v>63</v>
      </c>
      <c r="L90" s="1" t="s">
        <v>27</v>
      </c>
      <c r="M90" s="4">
        <v>44782</v>
      </c>
      <c r="N90" s="5">
        <v>1249.95</v>
      </c>
      <c r="O90" s="1"/>
      <c r="P90" s="1"/>
      <c r="Q90" s="1"/>
      <c r="R90" s="1"/>
      <c r="S90" s="1"/>
      <c r="T90" s="1"/>
      <c r="U90" s="1"/>
      <c r="V90" s="1"/>
      <c r="W90" s="1"/>
      <c r="X90" s="1"/>
      <c r="Y90" s="1"/>
      <c r="Z90" s="1"/>
    </row>
    <row r="91" spans="1:26" ht="29.4" thickBot="1" x14ac:dyDescent="0.35">
      <c r="A91" s="1" t="s">
        <v>218</v>
      </c>
      <c r="B91" s="4">
        <v>45517</v>
      </c>
      <c r="C91" s="1" t="s">
        <v>65</v>
      </c>
      <c r="D91" s="1" t="s">
        <v>66</v>
      </c>
      <c r="E91" s="1" t="s">
        <v>17</v>
      </c>
      <c r="F91" s="1" t="s">
        <v>18</v>
      </c>
      <c r="G91" s="1" t="s">
        <v>19</v>
      </c>
      <c r="H91" s="5">
        <v>3</v>
      </c>
      <c r="I91" s="5">
        <v>249.99</v>
      </c>
      <c r="J91" s="1" t="s">
        <v>34</v>
      </c>
      <c r="K91" s="1" t="s">
        <v>40</v>
      </c>
      <c r="L91" s="1" t="s">
        <v>27</v>
      </c>
      <c r="M91" s="4">
        <v>44465</v>
      </c>
      <c r="N91" s="5">
        <v>749.97</v>
      </c>
      <c r="O91" s="1"/>
      <c r="P91" s="1"/>
      <c r="Q91" s="1"/>
      <c r="R91" s="1"/>
      <c r="S91" s="1"/>
      <c r="T91" s="1"/>
      <c r="U91" s="1"/>
      <c r="V91" s="1"/>
      <c r="W91" s="1"/>
      <c r="X91" s="1"/>
      <c r="Y91" s="1"/>
      <c r="Z91" s="1"/>
    </row>
    <row r="92" spans="1:26" ht="29.4" thickBot="1" x14ac:dyDescent="0.35">
      <c r="A92" s="1" t="s">
        <v>219</v>
      </c>
      <c r="B92" s="4">
        <v>45517</v>
      </c>
      <c r="C92" s="1" t="s">
        <v>38</v>
      </c>
      <c r="D92" s="1" t="s">
        <v>39</v>
      </c>
      <c r="E92" s="1" t="s">
        <v>126</v>
      </c>
      <c r="F92" s="1" t="s">
        <v>127</v>
      </c>
      <c r="G92" s="1" t="s">
        <v>46</v>
      </c>
      <c r="H92" s="5">
        <v>4</v>
      </c>
      <c r="I92" s="5">
        <v>199.99</v>
      </c>
      <c r="J92" s="1" t="s">
        <v>20</v>
      </c>
      <c r="K92" s="1" t="s">
        <v>40</v>
      </c>
      <c r="L92" s="1" t="s">
        <v>36</v>
      </c>
      <c r="M92" s="4">
        <v>44458</v>
      </c>
      <c r="N92" s="5">
        <v>799.96</v>
      </c>
      <c r="O92" s="1"/>
      <c r="P92" s="1"/>
      <c r="Q92" s="1"/>
      <c r="R92" s="1"/>
      <c r="S92" s="1"/>
      <c r="T92" s="1"/>
      <c r="U92" s="1"/>
      <c r="V92" s="1"/>
      <c r="W92" s="1"/>
      <c r="X92" s="1"/>
      <c r="Y92" s="1"/>
      <c r="Z92" s="1"/>
    </row>
    <row r="93" spans="1:26" ht="29.4" thickBot="1" x14ac:dyDescent="0.35">
      <c r="A93" s="1" t="s">
        <v>220</v>
      </c>
      <c r="B93" s="4">
        <v>45519</v>
      </c>
      <c r="C93" s="1" t="s">
        <v>158</v>
      </c>
      <c r="D93" s="1" t="s">
        <v>159</v>
      </c>
      <c r="E93" s="1" t="s">
        <v>126</v>
      </c>
      <c r="F93" s="1" t="s">
        <v>127</v>
      </c>
      <c r="G93" s="1" t="s">
        <v>46</v>
      </c>
      <c r="H93" s="5">
        <v>5</v>
      </c>
      <c r="I93" s="5">
        <v>199.99</v>
      </c>
      <c r="J93" s="1" t="s">
        <v>20</v>
      </c>
      <c r="K93" s="1" t="s">
        <v>40</v>
      </c>
      <c r="L93" s="1" t="s">
        <v>27</v>
      </c>
      <c r="M93" s="4">
        <v>44991</v>
      </c>
      <c r="N93" s="5">
        <v>999.95</v>
      </c>
      <c r="O93" s="1"/>
      <c r="P93" s="1"/>
      <c r="Q93" s="1"/>
      <c r="R93" s="1"/>
      <c r="S93" s="1"/>
      <c r="T93" s="1"/>
      <c r="U93" s="1"/>
      <c r="V93" s="1"/>
      <c r="W93" s="1"/>
      <c r="X93" s="1"/>
      <c r="Y93" s="1"/>
      <c r="Z93" s="1"/>
    </row>
    <row r="94" spans="1:26" ht="29.4" thickBot="1" x14ac:dyDescent="0.35">
      <c r="A94" s="1" t="s">
        <v>221</v>
      </c>
      <c r="B94" s="4">
        <v>45522</v>
      </c>
      <c r="C94" s="1" t="s">
        <v>86</v>
      </c>
      <c r="D94" s="1" t="s">
        <v>87</v>
      </c>
      <c r="E94" s="1" t="s">
        <v>117</v>
      </c>
      <c r="F94" s="1" t="s">
        <v>118</v>
      </c>
      <c r="G94" s="1" t="s">
        <v>19</v>
      </c>
      <c r="H94" s="5">
        <v>2</v>
      </c>
      <c r="I94" s="5">
        <v>89.99</v>
      </c>
      <c r="J94" s="1" t="s">
        <v>20</v>
      </c>
      <c r="K94" s="1" t="s">
        <v>63</v>
      </c>
      <c r="L94" s="1" t="s">
        <v>27</v>
      </c>
      <c r="M94" s="4">
        <v>44972</v>
      </c>
      <c r="N94" s="5">
        <v>179.98</v>
      </c>
      <c r="O94" s="1"/>
      <c r="P94" s="1"/>
      <c r="Q94" s="1"/>
      <c r="R94" s="1"/>
      <c r="S94" s="1"/>
      <c r="T94" s="1"/>
      <c r="U94" s="1"/>
      <c r="V94" s="1"/>
      <c r="W94" s="1"/>
      <c r="X94" s="1"/>
      <c r="Y94" s="1"/>
      <c r="Z94" s="1"/>
    </row>
    <row r="95" spans="1:26" ht="29.4" thickBot="1" x14ac:dyDescent="0.35">
      <c r="A95" s="1" t="s">
        <v>222</v>
      </c>
      <c r="B95" s="4">
        <v>45523</v>
      </c>
      <c r="C95" s="1" t="s">
        <v>196</v>
      </c>
      <c r="D95" s="1" t="s">
        <v>197</v>
      </c>
      <c r="E95" s="1" t="s">
        <v>61</v>
      </c>
      <c r="F95" s="1" t="s">
        <v>62</v>
      </c>
      <c r="G95" s="1" t="s">
        <v>19</v>
      </c>
      <c r="H95" s="5">
        <v>5</v>
      </c>
      <c r="I95" s="5">
        <v>899.99</v>
      </c>
      <c r="J95" s="1" t="s">
        <v>57</v>
      </c>
      <c r="K95" s="1" t="s">
        <v>63</v>
      </c>
      <c r="L95" s="1" t="s">
        <v>22</v>
      </c>
      <c r="M95" s="4">
        <v>44526</v>
      </c>
      <c r="N95" s="5">
        <v>4499.95</v>
      </c>
      <c r="O95" s="1"/>
      <c r="P95" s="1"/>
      <c r="Q95" s="1"/>
      <c r="R95" s="1"/>
      <c r="S95" s="1"/>
      <c r="T95" s="1"/>
      <c r="U95" s="1"/>
      <c r="V95" s="1"/>
      <c r="W95" s="1"/>
      <c r="X95" s="1"/>
      <c r="Y95" s="1"/>
      <c r="Z95" s="1"/>
    </row>
    <row r="96" spans="1:26" ht="29.4" thickBot="1" x14ac:dyDescent="0.35">
      <c r="A96" s="1" t="s">
        <v>223</v>
      </c>
      <c r="B96" s="4">
        <v>45523</v>
      </c>
      <c r="C96" s="1" t="s">
        <v>108</v>
      </c>
      <c r="D96" s="1" t="s">
        <v>109</v>
      </c>
      <c r="E96" s="1" t="s">
        <v>52</v>
      </c>
      <c r="F96" s="1" t="s">
        <v>53</v>
      </c>
      <c r="G96" s="1" t="s">
        <v>19</v>
      </c>
      <c r="H96" s="5">
        <v>3</v>
      </c>
      <c r="I96" s="5">
        <v>149.99</v>
      </c>
      <c r="J96" s="1" t="s">
        <v>34</v>
      </c>
      <c r="K96" s="1" t="s">
        <v>63</v>
      </c>
      <c r="L96" s="1" t="s">
        <v>22</v>
      </c>
      <c r="M96" s="4">
        <v>44574</v>
      </c>
      <c r="N96" s="5">
        <v>449.97</v>
      </c>
      <c r="O96" s="1"/>
      <c r="P96" s="1"/>
      <c r="Q96" s="1"/>
      <c r="R96" s="1"/>
      <c r="S96" s="1"/>
      <c r="T96" s="1"/>
      <c r="U96" s="1"/>
      <c r="V96" s="1"/>
      <c r="W96" s="1"/>
      <c r="X96" s="1"/>
      <c r="Y96" s="1"/>
      <c r="Z96" s="1"/>
    </row>
    <row r="97" spans="1:26" ht="29.4" thickBot="1" x14ac:dyDescent="0.35">
      <c r="A97" s="1" t="s">
        <v>224</v>
      </c>
      <c r="B97" s="4">
        <v>45526</v>
      </c>
      <c r="C97" s="1" t="s">
        <v>102</v>
      </c>
      <c r="D97" s="1" t="s">
        <v>103</v>
      </c>
      <c r="E97" s="1" t="s">
        <v>44</v>
      </c>
      <c r="F97" s="1" t="s">
        <v>45</v>
      </c>
      <c r="G97" s="1" t="s">
        <v>46</v>
      </c>
      <c r="H97" s="5">
        <v>5</v>
      </c>
      <c r="I97" s="5">
        <v>149.99</v>
      </c>
      <c r="J97" s="1" t="s">
        <v>26</v>
      </c>
      <c r="K97" s="1" t="s">
        <v>21</v>
      </c>
      <c r="L97" s="1" t="s">
        <v>22</v>
      </c>
      <c r="M97" s="4">
        <v>45310</v>
      </c>
      <c r="N97" s="5">
        <v>749.95</v>
      </c>
      <c r="O97" s="1"/>
      <c r="P97" s="1"/>
      <c r="Q97" s="1"/>
      <c r="R97" s="1"/>
      <c r="S97" s="1"/>
      <c r="T97" s="1"/>
      <c r="U97" s="1"/>
      <c r="V97" s="1"/>
      <c r="W97" s="1"/>
      <c r="X97" s="1"/>
      <c r="Y97" s="1"/>
      <c r="Z97" s="1"/>
    </row>
    <row r="98" spans="1:26" ht="29.4" thickBot="1" x14ac:dyDescent="0.35">
      <c r="A98" s="1" t="s">
        <v>225</v>
      </c>
      <c r="B98" s="4">
        <v>45528</v>
      </c>
      <c r="C98" s="1" t="s">
        <v>226</v>
      </c>
      <c r="D98" s="1" t="s">
        <v>227</v>
      </c>
      <c r="E98" s="1" t="s">
        <v>114</v>
      </c>
      <c r="F98" s="1" t="s">
        <v>115</v>
      </c>
      <c r="G98" s="1" t="s">
        <v>33</v>
      </c>
      <c r="H98" s="5">
        <v>3</v>
      </c>
      <c r="I98" s="5">
        <v>79.989999999999995</v>
      </c>
      <c r="J98" s="1" t="s">
        <v>20</v>
      </c>
      <c r="K98" s="1" t="s">
        <v>21</v>
      </c>
      <c r="L98" s="1" t="s">
        <v>27</v>
      </c>
      <c r="M98" s="4">
        <v>44779</v>
      </c>
      <c r="N98" s="5">
        <v>239.97</v>
      </c>
      <c r="O98" s="1"/>
      <c r="P98" s="1"/>
      <c r="Q98" s="1"/>
      <c r="R98" s="1"/>
      <c r="S98" s="1"/>
      <c r="T98" s="1"/>
      <c r="U98" s="1"/>
      <c r="V98" s="1"/>
      <c r="W98" s="1"/>
      <c r="X98" s="1"/>
      <c r="Y98" s="1"/>
      <c r="Z98" s="1"/>
    </row>
    <row r="99" spans="1:26" ht="29.4" thickBot="1" x14ac:dyDescent="0.35">
      <c r="A99" s="1" t="s">
        <v>228</v>
      </c>
      <c r="B99" s="4">
        <v>45528</v>
      </c>
      <c r="C99" s="1" t="s">
        <v>144</v>
      </c>
      <c r="D99" s="1" t="s">
        <v>145</v>
      </c>
      <c r="E99" s="1" t="s">
        <v>17</v>
      </c>
      <c r="F99" s="1" t="s">
        <v>18</v>
      </c>
      <c r="G99" s="1" t="s">
        <v>19</v>
      </c>
      <c r="H99" s="5">
        <v>2</v>
      </c>
      <c r="I99" s="5">
        <v>249.99</v>
      </c>
      <c r="J99" s="1" t="s">
        <v>20</v>
      </c>
      <c r="K99" s="1" t="s">
        <v>35</v>
      </c>
      <c r="L99" s="1" t="s">
        <v>36</v>
      </c>
      <c r="M99" s="4">
        <v>44572</v>
      </c>
      <c r="N99" s="5">
        <v>499.98</v>
      </c>
      <c r="O99" s="1"/>
      <c r="P99" s="1"/>
      <c r="Q99" s="1"/>
      <c r="R99" s="1"/>
      <c r="S99" s="1"/>
      <c r="T99" s="1"/>
      <c r="U99" s="1"/>
      <c r="V99" s="1"/>
      <c r="W99" s="1"/>
      <c r="X99" s="1"/>
      <c r="Y99" s="1"/>
      <c r="Z99" s="1"/>
    </row>
    <row r="100" spans="1:26" ht="29.4" thickBot="1" x14ac:dyDescent="0.35">
      <c r="A100" s="1" t="s">
        <v>229</v>
      </c>
      <c r="B100" s="4">
        <v>45532</v>
      </c>
      <c r="C100" s="1" t="s">
        <v>196</v>
      </c>
      <c r="D100" s="1" t="s">
        <v>197</v>
      </c>
      <c r="E100" s="1" t="s">
        <v>80</v>
      </c>
      <c r="F100" s="1" t="s">
        <v>81</v>
      </c>
      <c r="G100" s="1" t="s">
        <v>19</v>
      </c>
      <c r="H100" s="5">
        <v>1</v>
      </c>
      <c r="I100" s="5">
        <v>699.99</v>
      </c>
      <c r="J100" s="1" t="s">
        <v>20</v>
      </c>
      <c r="K100" s="1" t="s">
        <v>21</v>
      </c>
      <c r="L100" s="1" t="s">
        <v>27</v>
      </c>
      <c r="M100" s="4">
        <v>44497</v>
      </c>
      <c r="N100" s="5">
        <v>699.99</v>
      </c>
      <c r="O100" s="1"/>
      <c r="P100" s="1"/>
      <c r="Q100" s="1"/>
      <c r="R100" s="1"/>
      <c r="S100" s="1"/>
      <c r="T100" s="1"/>
      <c r="U100" s="1"/>
      <c r="V100" s="1"/>
      <c r="W100" s="1"/>
      <c r="X100" s="1"/>
      <c r="Y100" s="1"/>
      <c r="Z100" s="1"/>
    </row>
    <row r="101" spans="1:26" ht="29.4" thickBot="1" x14ac:dyDescent="0.35">
      <c r="A101" s="1" t="s">
        <v>230</v>
      </c>
      <c r="B101" s="4">
        <v>45532</v>
      </c>
      <c r="C101" s="1" t="s">
        <v>231</v>
      </c>
      <c r="D101" s="1" t="s">
        <v>232</v>
      </c>
      <c r="E101" s="1" t="s">
        <v>52</v>
      </c>
      <c r="F101" s="1" t="s">
        <v>53</v>
      </c>
      <c r="G101" s="1" t="s">
        <v>19</v>
      </c>
      <c r="H101" s="5">
        <v>3</v>
      </c>
      <c r="I101" s="5">
        <v>149.99</v>
      </c>
      <c r="J101" s="1" t="s">
        <v>20</v>
      </c>
      <c r="K101" s="1" t="s">
        <v>50</v>
      </c>
      <c r="L101" s="1" t="s">
        <v>27</v>
      </c>
      <c r="M101" s="4">
        <v>45212</v>
      </c>
      <c r="N101" s="5">
        <v>449.97</v>
      </c>
      <c r="O101" s="1"/>
      <c r="P101" s="1"/>
      <c r="Q101" s="1"/>
      <c r="R101" s="1"/>
      <c r="S101" s="1"/>
      <c r="T101" s="1"/>
      <c r="U101" s="1"/>
      <c r="V101" s="1"/>
      <c r="W101" s="1"/>
      <c r="X101" s="1"/>
      <c r="Y101" s="1"/>
      <c r="Z101" s="1"/>
    </row>
    <row r="102" spans="1:26" ht="29.4" thickBot="1" x14ac:dyDescent="0.35">
      <c r="A102" s="1" t="s">
        <v>233</v>
      </c>
      <c r="B102" s="4">
        <v>45534</v>
      </c>
      <c r="C102" s="1" t="s">
        <v>234</v>
      </c>
      <c r="D102" s="1" t="s">
        <v>235</v>
      </c>
      <c r="E102" s="1" t="s">
        <v>80</v>
      </c>
      <c r="F102" s="1" t="s">
        <v>81</v>
      </c>
      <c r="G102" s="1" t="s">
        <v>19</v>
      </c>
      <c r="H102" s="5">
        <v>2</v>
      </c>
      <c r="I102" s="5">
        <v>699.99</v>
      </c>
      <c r="J102" s="1" t="s">
        <v>26</v>
      </c>
      <c r="K102" s="1" t="s">
        <v>40</v>
      </c>
      <c r="L102" s="1" t="s">
        <v>27</v>
      </c>
      <c r="M102" s="4">
        <v>44421</v>
      </c>
      <c r="N102" s="5">
        <v>1399.98</v>
      </c>
      <c r="O102" s="1"/>
      <c r="P102" s="1"/>
      <c r="Q102" s="1"/>
      <c r="R102" s="1"/>
      <c r="S102" s="1"/>
      <c r="T102" s="1"/>
      <c r="U102" s="1"/>
      <c r="V102" s="1"/>
      <c r="W102" s="1"/>
      <c r="X102" s="1"/>
      <c r="Y102" s="1"/>
      <c r="Z102" s="1"/>
    </row>
    <row r="103" spans="1:26" ht="29.4" thickBot="1" x14ac:dyDescent="0.35">
      <c r="A103" s="1" t="s">
        <v>236</v>
      </c>
      <c r="B103" s="4">
        <v>45537</v>
      </c>
      <c r="C103" s="1" t="s">
        <v>231</v>
      </c>
      <c r="D103" s="1" t="s">
        <v>232</v>
      </c>
      <c r="E103" s="1" t="s">
        <v>17</v>
      </c>
      <c r="F103" s="1" t="s">
        <v>18</v>
      </c>
      <c r="G103" s="1" t="s">
        <v>19</v>
      </c>
      <c r="H103" s="5">
        <v>1</v>
      </c>
      <c r="I103" s="5">
        <v>249.99</v>
      </c>
      <c r="J103" s="1" t="s">
        <v>26</v>
      </c>
      <c r="K103" s="1" t="s">
        <v>50</v>
      </c>
      <c r="L103" s="1" t="s">
        <v>27</v>
      </c>
      <c r="M103" s="4">
        <v>44685</v>
      </c>
      <c r="N103" s="5">
        <v>249.99</v>
      </c>
      <c r="O103" s="1"/>
      <c r="P103" s="1"/>
      <c r="Q103" s="1"/>
      <c r="R103" s="1"/>
      <c r="S103" s="1"/>
      <c r="T103" s="1"/>
      <c r="U103" s="1"/>
      <c r="V103" s="1"/>
      <c r="W103" s="1"/>
      <c r="X103" s="1"/>
      <c r="Y103" s="1"/>
      <c r="Z103" s="1"/>
    </row>
    <row r="104" spans="1:26" ht="29.4" thickBot="1" x14ac:dyDescent="0.35">
      <c r="A104" s="1" t="s">
        <v>237</v>
      </c>
      <c r="B104" s="4">
        <v>45537</v>
      </c>
      <c r="C104" s="1" t="s">
        <v>15</v>
      </c>
      <c r="D104" s="1" t="s">
        <v>16</v>
      </c>
      <c r="E104" s="1" t="s">
        <v>17</v>
      </c>
      <c r="F104" s="1" t="s">
        <v>18</v>
      </c>
      <c r="G104" s="1" t="s">
        <v>19</v>
      </c>
      <c r="H104" s="5">
        <v>1</v>
      </c>
      <c r="I104" s="5">
        <v>249.99</v>
      </c>
      <c r="J104" s="1" t="s">
        <v>57</v>
      </c>
      <c r="K104" s="1" t="s">
        <v>40</v>
      </c>
      <c r="L104" s="1" t="s">
        <v>27</v>
      </c>
      <c r="M104" s="4">
        <v>45332</v>
      </c>
      <c r="N104" s="5">
        <v>249.99</v>
      </c>
      <c r="O104" s="1"/>
      <c r="P104" s="1"/>
      <c r="Q104" s="1"/>
      <c r="R104" s="1"/>
      <c r="S104" s="1"/>
      <c r="T104" s="1"/>
      <c r="U104" s="1"/>
      <c r="V104" s="1"/>
      <c r="W104" s="1"/>
      <c r="X104" s="1"/>
      <c r="Y104" s="1"/>
      <c r="Z104" s="1"/>
    </row>
    <row r="105" spans="1:26" ht="29.4" thickBot="1" x14ac:dyDescent="0.35">
      <c r="A105" s="1" t="s">
        <v>238</v>
      </c>
      <c r="B105" s="4">
        <v>45538</v>
      </c>
      <c r="C105" s="1" t="s">
        <v>226</v>
      </c>
      <c r="D105" s="1" t="s">
        <v>227</v>
      </c>
      <c r="E105" s="1" t="s">
        <v>80</v>
      </c>
      <c r="F105" s="1" t="s">
        <v>81</v>
      </c>
      <c r="G105" s="1" t="s">
        <v>19</v>
      </c>
      <c r="H105" s="5">
        <v>2</v>
      </c>
      <c r="I105" s="5">
        <v>699.99</v>
      </c>
      <c r="J105" s="1" t="s">
        <v>57</v>
      </c>
      <c r="K105" s="1" t="s">
        <v>21</v>
      </c>
      <c r="L105" s="1" t="s">
        <v>27</v>
      </c>
      <c r="M105" s="4">
        <v>44870</v>
      </c>
      <c r="N105" s="5">
        <v>1399.98</v>
      </c>
      <c r="O105" s="1"/>
      <c r="P105" s="1"/>
      <c r="Q105" s="1"/>
      <c r="R105" s="1"/>
      <c r="S105" s="1"/>
      <c r="T105" s="1"/>
      <c r="U105" s="1"/>
      <c r="V105" s="1"/>
      <c r="W105" s="1"/>
      <c r="X105" s="1"/>
      <c r="Y105" s="1"/>
      <c r="Z105" s="1"/>
    </row>
    <row r="106" spans="1:26" ht="29.4" thickBot="1" x14ac:dyDescent="0.35">
      <c r="A106" s="1" t="s">
        <v>239</v>
      </c>
      <c r="B106" s="4">
        <v>45541</v>
      </c>
      <c r="C106" s="1" t="s">
        <v>138</v>
      </c>
      <c r="D106" s="1" t="s">
        <v>139</v>
      </c>
      <c r="E106" s="1" t="s">
        <v>31</v>
      </c>
      <c r="F106" s="1" t="s">
        <v>32</v>
      </c>
      <c r="G106" s="1" t="s">
        <v>33</v>
      </c>
      <c r="H106" s="5">
        <v>3</v>
      </c>
      <c r="I106" s="5">
        <v>59.99</v>
      </c>
      <c r="J106" s="1" t="s">
        <v>26</v>
      </c>
      <c r="K106" s="1" t="s">
        <v>21</v>
      </c>
      <c r="L106" s="1" t="s">
        <v>27</v>
      </c>
      <c r="M106" s="4">
        <v>44717</v>
      </c>
      <c r="N106" s="5">
        <v>179.97</v>
      </c>
      <c r="O106" s="1"/>
      <c r="P106" s="1"/>
      <c r="Q106" s="1"/>
      <c r="R106" s="1"/>
      <c r="S106" s="1"/>
      <c r="T106" s="1"/>
      <c r="U106" s="1"/>
      <c r="V106" s="1"/>
      <c r="W106" s="1"/>
      <c r="X106" s="1"/>
      <c r="Y106" s="1"/>
      <c r="Z106" s="1"/>
    </row>
    <row r="107" spans="1:26" ht="29.4" thickBot="1" x14ac:dyDescent="0.35">
      <c r="A107" s="1" t="s">
        <v>240</v>
      </c>
      <c r="B107" s="4">
        <v>45544</v>
      </c>
      <c r="C107" s="1" t="s">
        <v>132</v>
      </c>
      <c r="D107" s="1" t="s">
        <v>133</v>
      </c>
      <c r="E107" s="1" t="s">
        <v>31</v>
      </c>
      <c r="F107" s="1" t="s">
        <v>32</v>
      </c>
      <c r="G107" s="1" t="s">
        <v>33</v>
      </c>
      <c r="H107" s="5">
        <v>3</v>
      </c>
      <c r="I107" s="5">
        <v>59.99</v>
      </c>
      <c r="J107" s="1" t="s">
        <v>34</v>
      </c>
      <c r="K107" s="1" t="s">
        <v>63</v>
      </c>
      <c r="L107" s="1" t="s">
        <v>36</v>
      </c>
      <c r="M107" s="4">
        <v>44748</v>
      </c>
      <c r="N107" s="5">
        <v>179.97</v>
      </c>
      <c r="O107" s="1"/>
      <c r="P107" s="1"/>
      <c r="Q107" s="1"/>
      <c r="R107" s="1"/>
      <c r="S107" s="1"/>
      <c r="T107" s="1"/>
      <c r="U107" s="1"/>
      <c r="V107" s="1"/>
      <c r="W107" s="1"/>
      <c r="X107" s="1"/>
      <c r="Y107" s="1"/>
      <c r="Z107" s="1"/>
    </row>
    <row r="108" spans="1:26" ht="29.4" thickBot="1" x14ac:dyDescent="0.35">
      <c r="A108" s="1" t="s">
        <v>241</v>
      </c>
      <c r="B108" s="4">
        <v>45544</v>
      </c>
      <c r="C108" s="1" t="s">
        <v>141</v>
      </c>
      <c r="D108" s="1" t="s">
        <v>142</v>
      </c>
      <c r="E108" s="1" t="s">
        <v>114</v>
      </c>
      <c r="F108" s="1" t="s">
        <v>115</v>
      </c>
      <c r="G108" s="1" t="s">
        <v>33</v>
      </c>
      <c r="H108" s="5">
        <v>4</v>
      </c>
      <c r="I108" s="5">
        <v>79.989999999999995</v>
      </c>
      <c r="J108" s="1" t="s">
        <v>20</v>
      </c>
      <c r="K108" s="1" t="s">
        <v>40</v>
      </c>
      <c r="L108" s="1" t="s">
        <v>22</v>
      </c>
      <c r="M108" s="4">
        <v>44530</v>
      </c>
      <c r="N108" s="5">
        <v>319.95999999999998</v>
      </c>
      <c r="O108" s="1"/>
      <c r="P108" s="1"/>
      <c r="Q108" s="1"/>
      <c r="R108" s="1"/>
      <c r="S108" s="1"/>
      <c r="T108" s="1"/>
      <c r="U108" s="1"/>
      <c r="V108" s="1"/>
      <c r="W108" s="1"/>
      <c r="X108" s="1"/>
      <c r="Y108" s="1"/>
      <c r="Z108" s="1"/>
    </row>
    <row r="109" spans="1:26" ht="29.4" thickBot="1" x14ac:dyDescent="0.35">
      <c r="A109" s="1" t="s">
        <v>242</v>
      </c>
      <c r="B109" s="4">
        <v>45545</v>
      </c>
      <c r="C109" s="1" t="s">
        <v>55</v>
      </c>
      <c r="D109" s="1" t="s">
        <v>56</v>
      </c>
      <c r="E109" s="1" t="s">
        <v>114</v>
      </c>
      <c r="F109" s="1" t="s">
        <v>115</v>
      </c>
      <c r="G109" s="1" t="s">
        <v>33</v>
      </c>
      <c r="H109" s="5">
        <v>1</v>
      </c>
      <c r="I109" s="5">
        <v>79.989999999999995</v>
      </c>
      <c r="J109" s="1" t="s">
        <v>20</v>
      </c>
      <c r="K109" s="1" t="s">
        <v>50</v>
      </c>
      <c r="L109" s="1" t="s">
        <v>22</v>
      </c>
      <c r="M109" s="4">
        <v>44693</v>
      </c>
      <c r="N109" s="5">
        <v>79.989999999999995</v>
      </c>
      <c r="O109" s="1"/>
      <c r="P109" s="1"/>
      <c r="Q109" s="1"/>
      <c r="R109" s="1"/>
      <c r="S109" s="1"/>
      <c r="T109" s="1"/>
      <c r="U109" s="1"/>
      <c r="V109" s="1"/>
      <c r="W109" s="1"/>
      <c r="X109" s="1"/>
      <c r="Y109" s="1"/>
      <c r="Z109" s="1"/>
    </row>
    <row r="110" spans="1:26" ht="29.4" thickBot="1" x14ac:dyDescent="0.35">
      <c r="A110" s="1" t="s">
        <v>243</v>
      </c>
      <c r="B110" s="4">
        <v>45547</v>
      </c>
      <c r="C110" s="1" t="s">
        <v>48</v>
      </c>
      <c r="D110" s="1" t="s">
        <v>49</v>
      </c>
      <c r="E110" s="1" t="s">
        <v>105</v>
      </c>
      <c r="F110" s="1" t="s">
        <v>106</v>
      </c>
      <c r="G110" s="1" t="s">
        <v>46</v>
      </c>
      <c r="H110" s="5">
        <v>3</v>
      </c>
      <c r="I110" s="5">
        <v>299.99</v>
      </c>
      <c r="J110" s="1" t="s">
        <v>26</v>
      </c>
      <c r="K110" s="1" t="s">
        <v>21</v>
      </c>
      <c r="L110" s="1" t="s">
        <v>27</v>
      </c>
      <c r="M110" s="4">
        <v>44494</v>
      </c>
      <c r="N110" s="5">
        <v>899.97</v>
      </c>
      <c r="O110" s="1"/>
      <c r="P110" s="1"/>
      <c r="Q110" s="1"/>
      <c r="R110" s="1"/>
      <c r="S110" s="1"/>
      <c r="T110" s="1"/>
      <c r="U110" s="1"/>
      <c r="V110" s="1"/>
      <c r="W110" s="1"/>
      <c r="X110" s="1"/>
      <c r="Y110" s="1"/>
      <c r="Z110" s="1"/>
    </row>
    <row r="111" spans="1:26" ht="29.4" thickBot="1" x14ac:dyDescent="0.35">
      <c r="A111" s="1" t="s">
        <v>244</v>
      </c>
      <c r="B111" s="4">
        <v>45548</v>
      </c>
      <c r="C111" s="1" t="s">
        <v>38</v>
      </c>
      <c r="D111" s="1" t="s">
        <v>39</v>
      </c>
      <c r="E111" s="1" t="s">
        <v>117</v>
      </c>
      <c r="F111" s="1" t="s">
        <v>118</v>
      </c>
      <c r="G111" s="1" t="s">
        <v>19</v>
      </c>
      <c r="H111" s="5">
        <v>2</v>
      </c>
      <c r="I111" s="5">
        <v>89.99</v>
      </c>
      <c r="J111" s="1" t="s">
        <v>26</v>
      </c>
      <c r="K111" s="1" t="s">
        <v>35</v>
      </c>
      <c r="L111" s="1" t="s">
        <v>27</v>
      </c>
      <c r="M111" s="4">
        <v>44641</v>
      </c>
      <c r="N111" s="5">
        <v>179.98</v>
      </c>
      <c r="O111" s="1"/>
      <c r="P111" s="1"/>
      <c r="Q111" s="1"/>
      <c r="R111" s="1"/>
      <c r="S111" s="1"/>
      <c r="T111" s="1"/>
      <c r="U111" s="1"/>
      <c r="V111" s="1"/>
      <c r="W111" s="1"/>
      <c r="X111" s="1"/>
      <c r="Y111" s="1"/>
      <c r="Z111" s="1"/>
    </row>
    <row r="112" spans="1:26" ht="29.4" thickBot="1" x14ac:dyDescent="0.35">
      <c r="A112" s="1" t="s">
        <v>245</v>
      </c>
      <c r="B112" s="4">
        <v>45550</v>
      </c>
      <c r="C112" s="1" t="s">
        <v>246</v>
      </c>
      <c r="D112" s="1" t="s">
        <v>247</v>
      </c>
      <c r="E112" s="1" t="s">
        <v>52</v>
      </c>
      <c r="F112" s="1" t="s">
        <v>53</v>
      </c>
      <c r="G112" s="1" t="s">
        <v>19</v>
      </c>
      <c r="H112" s="5">
        <v>4</v>
      </c>
      <c r="I112" s="5">
        <v>149.99</v>
      </c>
      <c r="J112" s="1" t="s">
        <v>20</v>
      </c>
      <c r="K112" s="1" t="s">
        <v>40</v>
      </c>
      <c r="L112" s="1" t="s">
        <v>22</v>
      </c>
      <c r="M112" s="4">
        <v>44909</v>
      </c>
      <c r="N112" s="5">
        <v>599.96</v>
      </c>
      <c r="O112" s="1"/>
      <c r="P112" s="1"/>
      <c r="Q112" s="1"/>
      <c r="R112" s="1"/>
      <c r="S112" s="1"/>
      <c r="T112" s="1"/>
      <c r="U112" s="1"/>
      <c r="V112" s="1"/>
      <c r="W112" s="1"/>
      <c r="X112" s="1"/>
      <c r="Y112" s="1"/>
      <c r="Z112" s="1"/>
    </row>
    <row r="113" spans="1:26" ht="29.4" thickBot="1" x14ac:dyDescent="0.35">
      <c r="A113" s="1" t="s">
        <v>248</v>
      </c>
      <c r="B113" s="4">
        <v>45551</v>
      </c>
      <c r="C113" s="1" t="s">
        <v>65</v>
      </c>
      <c r="D113" s="1" t="s">
        <v>66</v>
      </c>
      <c r="E113" s="1" t="s">
        <v>17</v>
      </c>
      <c r="F113" s="1" t="s">
        <v>18</v>
      </c>
      <c r="G113" s="1" t="s">
        <v>19</v>
      </c>
      <c r="H113" s="5">
        <v>2</v>
      </c>
      <c r="I113" s="5">
        <v>249.99</v>
      </c>
      <c r="J113" s="1" t="s">
        <v>34</v>
      </c>
      <c r="K113" s="1" t="s">
        <v>35</v>
      </c>
      <c r="L113" s="1" t="s">
        <v>22</v>
      </c>
      <c r="M113" s="4">
        <v>44993</v>
      </c>
      <c r="N113" s="5">
        <v>499.98</v>
      </c>
      <c r="O113" s="1"/>
      <c r="P113" s="1"/>
      <c r="Q113" s="1"/>
      <c r="R113" s="1"/>
      <c r="S113" s="1"/>
      <c r="T113" s="1"/>
      <c r="U113" s="1"/>
      <c r="V113" s="1"/>
      <c r="W113" s="1"/>
      <c r="X113" s="1"/>
      <c r="Y113" s="1"/>
      <c r="Z113" s="1"/>
    </row>
    <row r="114" spans="1:26" ht="29.4" thickBot="1" x14ac:dyDescent="0.35">
      <c r="A114" s="1" t="s">
        <v>249</v>
      </c>
      <c r="B114" s="4">
        <v>45551</v>
      </c>
      <c r="C114" s="1" t="s">
        <v>154</v>
      </c>
      <c r="D114" s="1" t="s">
        <v>155</v>
      </c>
      <c r="E114" s="1" t="s">
        <v>126</v>
      </c>
      <c r="F114" s="1" t="s">
        <v>127</v>
      </c>
      <c r="G114" s="1" t="s">
        <v>46</v>
      </c>
      <c r="H114" s="5">
        <v>4</v>
      </c>
      <c r="I114" s="5">
        <v>199.99</v>
      </c>
      <c r="J114" s="1" t="s">
        <v>57</v>
      </c>
      <c r="K114" s="1" t="s">
        <v>63</v>
      </c>
      <c r="L114" s="1" t="s">
        <v>22</v>
      </c>
      <c r="M114" s="4">
        <v>44458</v>
      </c>
      <c r="N114" s="5">
        <v>799.96</v>
      </c>
      <c r="O114" s="1"/>
      <c r="P114" s="1"/>
      <c r="Q114" s="1"/>
      <c r="R114" s="1"/>
      <c r="S114" s="1"/>
      <c r="T114" s="1"/>
      <c r="U114" s="1"/>
      <c r="V114" s="1"/>
      <c r="W114" s="1"/>
      <c r="X114" s="1"/>
      <c r="Y114" s="1"/>
      <c r="Z114" s="1"/>
    </row>
    <row r="115" spans="1:26" ht="29.4" thickBot="1" x14ac:dyDescent="0.35">
      <c r="A115" s="1" t="s">
        <v>250</v>
      </c>
      <c r="B115" s="4">
        <v>45554</v>
      </c>
      <c r="C115" s="1" t="s">
        <v>147</v>
      </c>
      <c r="D115" s="1" t="s">
        <v>148</v>
      </c>
      <c r="E115" s="1" t="s">
        <v>117</v>
      </c>
      <c r="F115" s="1" t="s">
        <v>118</v>
      </c>
      <c r="G115" s="1" t="s">
        <v>19</v>
      </c>
      <c r="H115" s="5">
        <v>5</v>
      </c>
      <c r="I115" s="5">
        <v>89.99</v>
      </c>
      <c r="J115" s="1" t="s">
        <v>26</v>
      </c>
      <c r="K115" s="1" t="s">
        <v>63</v>
      </c>
      <c r="L115" s="1" t="s">
        <v>27</v>
      </c>
      <c r="M115" s="4">
        <v>44446</v>
      </c>
      <c r="N115" s="5">
        <v>449.95</v>
      </c>
      <c r="O115" s="1"/>
      <c r="P115" s="1"/>
      <c r="Q115" s="1"/>
      <c r="R115" s="1"/>
      <c r="S115" s="1"/>
      <c r="T115" s="1"/>
      <c r="U115" s="1"/>
      <c r="V115" s="1"/>
      <c r="W115" s="1"/>
      <c r="X115" s="1"/>
      <c r="Y115" s="1"/>
      <c r="Z115" s="1"/>
    </row>
    <row r="116" spans="1:26" ht="29.4" thickBot="1" x14ac:dyDescent="0.35">
      <c r="A116" s="1" t="s">
        <v>251</v>
      </c>
      <c r="B116" s="4">
        <v>45554</v>
      </c>
      <c r="C116" s="1" t="s">
        <v>252</v>
      </c>
      <c r="D116" s="1" t="s">
        <v>253</v>
      </c>
      <c r="E116" s="1" t="s">
        <v>52</v>
      </c>
      <c r="F116" s="1" t="s">
        <v>53</v>
      </c>
      <c r="G116" s="1" t="s">
        <v>19</v>
      </c>
      <c r="H116" s="5">
        <v>1</v>
      </c>
      <c r="I116" s="5">
        <v>149.99</v>
      </c>
      <c r="J116" s="1" t="s">
        <v>34</v>
      </c>
      <c r="K116" s="1" t="s">
        <v>63</v>
      </c>
      <c r="L116" s="1" t="s">
        <v>36</v>
      </c>
      <c r="M116" s="4">
        <v>44482</v>
      </c>
      <c r="N116" s="5">
        <v>149.99</v>
      </c>
      <c r="O116" s="1"/>
      <c r="P116" s="1"/>
      <c r="Q116" s="1"/>
      <c r="R116" s="1"/>
      <c r="S116" s="1"/>
      <c r="T116" s="1"/>
      <c r="U116" s="1"/>
      <c r="V116" s="1"/>
      <c r="W116" s="1"/>
      <c r="X116" s="1"/>
      <c r="Y116" s="1"/>
      <c r="Z116" s="1"/>
    </row>
    <row r="117" spans="1:26" ht="43.8" thickBot="1" x14ac:dyDescent="0.35">
      <c r="A117" s="1" t="s">
        <v>254</v>
      </c>
      <c r="B117" s="4">
        <v>45554</v>
      </c>
      <c r="C117" s="1" t="s">
        <v>72</v>
      </c>
      <c r="D117" s="1" t="s">
        <v>73</v>
      </c>
      <c r="E117" s="1" t="s">
        <v>80</v>
      </c>
      <c r="F117" s="1" t="s">
        <v>81</v>
      </c>
      <c r="G117" s="1" t="s">
        <v>19</v>
      </c>
      <c r="H117" s="5">
        <v>4</v>
      </c>
      <c r="I117" s="5">
        <v>699.99</v>
      </c>
      <c r="J117" s="1" t="s">
        <v>34</v>
      </c>
      <c r="K117" s="1" t="s">
        <v>35</v>
      </c>
      <c r="L117" s="1" t="s">
        <v>22</v>
      </c>
      <c r="M117" s="4">
        <v>44618</v>
      </c>
      <c r="N117" s="5">
        <v>2799.96</v>
      </c>
      <c r="O117" s="1"/>
      <c r="P117" s="1"/>
      <c r="Q117" s="1"/>
      <c r="R117" s="1"/>
      <c r="S117" s="1"/>
      <c r="T117" s="1"/>
      <c r="U117" s="1"/>
      <c r="V117" s="1"/>
      <c r="W117" s="1"/>
      <c r="X117" s="1"/>
      <c r="Y117" s="1"/>
      <c r="Z117" s="1"/>
    </row>
    <row r="118" spans="1:26" ht="29.4" thickBot="1" x14ac:dyDescent="0.35">
      <c r="A118" s="1" t="s">
        <v>255</v>
      </c>
      <c r="B118" s="4">
        <v>45559</v>
      </c>
      <c r="C118" s="1" t="s">
        <v>234</v>
      </c>
      <c r="D118" s="1" t="s">
        <v>235</v>
      </c>
      <c r="E118" s="1" t="s">
        <v>61</v>
      </c>
      <c r="F118" s="1" t="s">
        <v>62</v>
      </c>
      <c r="G118" s="1" t="s">
        <v>19</v>
      </c>
      <c r="H118" s="5">
        <v>3</v>
      </c>
      <c r="I118" s="5">
        <v>899.99</v>
      </c>
      <c r="J118" s="1" t="s">
        <v>26</v>
      </c>
      <c r="K118" s="1" t="s">
        <v>40</v>
      </c>
      <c r="L118" s="1" t="s">
        <v>36</v>
      </c>
      <c r="M118" s="4">
        <v>45157</v>
      </c>
      <c r="N118" s="5">
        <v>2699.97</v>
      </c>
      <c r="O118" s="1"/>
      <c r="P118" s="1"/>
      <c r="Q118" s="1"/>
      <c r="R118" s="1"/>
      <c r="S118" s="1"/>
      <c r="T118" s="1"/>
      <c r="U118" s="1"/>
      <c r="V118" s="1"/>
      <c r="W118" s="1"/>
      <c r="X118" s="1"/>
      <c r="Y118" s="1"/>
      <c r="Z118" s="1"/>
    </row>
    <row r="119" spans="1:26" ht="29.4" thickBot="1" x14ac:dyDescent="0.35">
      <c r="A119" s="1" t="s">
        <v>256</v>
      </c>
      <c r="B119" s="4">
        <v>45560</v>
      </c>
      <c r="C119" s="1" t="s">
        <v>112</v>
      </c>
      <c r="D119" s="1" t="s">
        <v>113</v>
      </c>
      <c r="E119" s="1" t="s">
        <v>44</v>
      </c>
      <c r="F119" s="1" t="s">
        <v>45</v>
      </c>
      <c r="G119" s="1" t="s">
        <v>46</v>
      </c>
      <c r="H119" s="5">
        <v>3</v>
      </c>
      <c r="I119" s="5">
        <v>149.99</v>
      </c>
      <c r="J119" s="1" t="s">
        <v>34</v>
      </c>
      <c r="K119" s="1" t="s">
        <v>63</v>
      </c>
      <c r="L119" s="1" t="s">
        <v>22</v>
      </c>
      <c r="M119" s="4">
        <v>44886</v>
      </c>
      <c r="N119" s="5">
        <v>449.97</v>
      </c>
      <c r="O119" s="1"/>
      <c r="P119" s="1"/>
      <c r="Q119" s="1"/>
      <c r="R119" s="1"/>
      <c r="S119" s="1"/>
      <c r="T119" s="1"/>
      <c r="U119" s="1"/>
      <c r="V119" s="1"/>
      <c r="W119" s="1"/>
      <c r="X119" s="1"/>
      <c r="Y119" s="1"/>
      <c r="Z119" s="1"/>
    </row>
    <row r="120" spans="1:26" ht="29.4" thickBot="1" x14ac:dyDescent="0.35">
      <c r="A120" s="1" t="s">
        <v>257</v>
      </c>
      <c r="B120" s="4">
        <v>45563</v>
      </c>
      <c r="C120" s="1" t="s">
        <v>99</v>
      </c>
      <c r="D120" s="1" t="s">
        <v>100</v>
      </c>
      <c r="E120" s="1" t="s">
        <v>105</v>
      </c>
      <c r="F120" s="1" t="s">
        <v>106</v>
      </c>
      <c r="G120" s="1" t="s">
        <v>46</v>
      </c>
      <c r="H120" s="5">
        <v>2</v>
      </c>
      <c r="I120" s="5">
        <v>299.99</v>
      </c>
      <c r="J120" s="1" t="s">
        <v>57</v>
      </c>
      <c r="K120" s="1" t="s">
        <v>21</v>
      </c>
      <c r="L120" s="1" t="s">
        <v>22</v>
      </c>
      <c r="M120" s="4">
        <v>44569</v>
      </c>
      <c r="N120" s="5">
        <v>599.98</v>
      </c>
      <c r="O120" s="1"/>
      <c r="P120" s="1"/>
      <c r="Q120" s="1"/>
      <c r="R120" s="1"/>
      <c r="S120" s="1"/>
      <c r="T120" s="1"/>
      <c r="U120" s="1"/>
      <c r="V120" s="1"/>
      <c r="W120" s="1"/>
      <c r="X120" s="1"/>
      <c r="Y120" s="1"/>
      <c r="Z120" s="1"/>
    </row>
    <row r="121" spans="1:26" ht="29.4" thickBot="1" x14ac:dyDescent="0.35">
      <c r="A121" s="1" t="s">
        <v>258</v>
      </c>
      <c r="B121" s="4">
        <v>45564</v>
      </c>
      <c r="C121" s="1" t="s">
        <v>259</v>
      </c>
      <c r="D121" s="1" t="s">
        <v>260</v>
      </c>
      <c r="E121" s="1" t="s">
        <v>126</v>
      </c>
      <c r="F121" s="1" t="s">
        <v>127</v>
      </c>
      <c r="G121" s="1" t="s">
        <v>46</v>
      </c>
      <c r="H121" s="5">
        <v>1</v>
      </c>
      <c r="I121" s="5">
        <v>199.99</v>
      </c>
      <c r="J121" s="1" t="s">
        <v>57</v>
      </c>
      <c r="K121" s="1" t="s">
        <v>63</v>
      </c>
      <c r="L121" s="1" t="s">
        <v>36</v>
      </c>
      <c r="M121" s="4">
        <v>44953</v>
      </c>
      <c r="N121" s="5">
        <v>199.99</v>
      </c>
      <c r="O121" s="1"/>
      <c r="P121" s="1"/>
      <c r="Q121" s="1"/>
      <c r="R121" s="1"/>
      <c r="S121" s="1"/>
      <c r="T121" s="1"/>
      <c r="U121" s="1"/>
      <c r="V121" s="1"/>
      <c r="W121" s="1"/>
      <c r="X121" s="1"/>
      <c r="Y121" s="1"/>
      <c r="Z121" s="1"/>
    </row>
    <row r="122" spans="1:26" ht="29.4" thickBot="1" x14ac:dyDescent="0.35">
      <c r="A122" s="1" t="s">
        <v>261</v>
      </c>
      <c r="B122" s="4">
        <v>45566</v>
      </c>
      <c r="C122" s="1" t="s">
        <v>42</v>
      </c>
      <c r="D122" s="1" t="s">
        <v>43</v>
      </c>
      <c r="E122" s="1" t="s">
        <v>105</v>
      </c>
      <c r="F122" s="1" t="s">
        <v>106</v>
      </c>
      <c r="G122" s="1" t="s">
        <v>46</v>
      </c>
      <c r="H122" s="5">
        <v>4</v>
      </c>
      <c r="I122" s="5">
        <v>299.99</v>
      </c>
      <c r="J122" s="1" t="s">
        <v>20</v>
      </c>
      <c r="K122" s="1" t="s">
        <v>21</v>
      </c>
      <c r="L122" s="1" t="s">
        <v>27</v>
      </c>
      <c r="M122" s="4">
        <v>44460</v>
      </c>
      <c r="N122" s="5">
        <v>1199.96</v>
      </c>
      <c r="O122" s="1"/>
      <c r="P122" s="1"/>
      <c r="Q122" s="1"/>
      <c r="R122" s="1"/>
      <c r="S122" s="1"/>
      <c r="T122" s="1"/>
      <c r="U122" s="1"/>
      <c r="V122" s="1"/>
      <c r="W122" s="1"/>
      <c r="X122" s="1"/>
      <c r="Y122" s="1"/>
      <c r="Z122" s="1"/>
    </row>
    <row r="123" spans="1:26" ht="29.4" thickBot="1" x14ac:dyDescent="0.35">
      <c r="A123" s="1" t="s">
        <v>262</v>
      </c>
      <c r="B123" s="4">
        <v>45572</v>
      </c>
      <c r="C123" s="1" t="s">
        <v>89</v>
      </c>
      <c r="D123" s="1" t="s">
        <v>90</v>
      </c>
      <c r="E123" s="1" t="s">
        <v>31</v>
      </c>
      <c r="F123" s="1" t="s">
        <v>32</v>
      </c>
      <c r="G123" s="1" t="s">
        <v>33</v>
      </c>
      <c r="H123" s="5">
        <v>2</v>
      </c>
      <c r="I123" s="5">
        <v>59.99</v>
      </c>
      <c r="J123" s="1" t="s">
        <v>26</v>
      </c>
      <c r="K123" s="1" t="s">
        <v>21</v>
      </c>
      <c r="L123" s="1" t="s">
        <v>22</v>
      </c>
      <c r="M123" s="4">
        <v>44579</v>
      </c>
      <c r="N123" s="5">
        <v>119.98</v>
      </c>
      <c r="O123" s="1"/>
      <c r="P123" s="1"/>
      <c r="Q123" s="1"/>
      <c r="R123" s="1"/>
      <c r="S123" s="1"/>
      <c r="T123" s="1"/>
      <c r="U123" s="1"/>
      <c r="V123" s="1"/>
      <c r="W123" s="1"/>
      <c r="X123" s="1"/>
      <c r="Y123" s="1"/>
      <c r="Z123" s="1"/>
    </row>
    <row r="124" spans="1:26" ht="29.4" thickBot="1" x14ac:dyDescent="0.35">
      <c r="A124" s="1" t="s">
        <v>263</v>
      </c>
      <c r="B124" s="4">
        <v>45572</v>
      </c>
      <c r="C124" s="1" t="s">
        <v>234</v>
      </c>
      <c r="D124" s="1" t="s">
        <v>235</v>
      </c>
      <c r="E124" s="1" t="s">
        <v>52</v>
      </c>
      <c r="F124" s="1" t="s">
        <v>53</v>
      </c>
      <c r="G124" s="1" t="s">
        <v>19</v>
      </c>
      <c r="H124" s="5">
        <v>4</v>
      </c>
      <c r="I124" s="5">
        <v>149.99</v>
      </c>
      <c r="J124" s="1" t="s">
        <v>26</v>
      </c>
      <c r="K124" s="1" t="s">
        <v>40</v>
      </c>
      <c r="L124" s="1" t="s">
        <v>27</v>
      </c>
      <c r="M124" s="4">
        <v>45076</v>
      </c>
      <c r="N124" s="5">
        <v>599.96</v>
      </c>
      <c r="O124" s="1"/>
      <c r="P124" s="1"/>
      <c r="Q124" s="1"/>
      <c r="R124" s="1"/>
      <c r="S124" s="1"/>
      <c r="T124" s="1"/>
      <c r="U124" s="1"/>
      <c r="V124" s="1"/>
      <c r="W124" s="1"/>
      <c r="X124" s="1"/>
      <c r="Y124" s="1"/>
      <c r="Z124" s="1"/>
    </row>
    <row r="125" spans="1:26" ht="29.4" thickBot="1" x14ac:dyDescent="0.35">
      <c r="A125" s="1" t="s">
        <v>264</v>
      </c>
      <c r="B125" s="4">
        <v>45573</v>
      </c>
      <c r="C125" s="1" t="s">
        <v>211</v>
      </c>
      <c r="D125" s="1" t="s">
        <v>212</v>
      </c>
      <c r="E125" s="1" t="s">
        <v>80</v>
      </c>
      <c r="F125" s="1" t="s">
        <v>81</v>
      </c>
      <c r="G125" s="1" t="s">
        <v>19</v>
      </c>
      <c r="H125" s="5">
        <v>2</v>
      </c>
      <c r="I125" s="5">
        <v>699.99</v>
      </c>
      <c r="J125" s="1" t="s">
        <v>57</v>
      </c>
      <c r="K125" s="1" t="s">
        <v>63</v>
      </c>
      <c r="L125" s="1" t="s">
        <v>27</v>
      </c>
      <c r="M125" s="4">
        <v>45274</v>
      </c>
      <c r="N125" s="5">
        <v>1399.98</v>
      </c>
      <c r="O125" s="1"/>
      <c r="P125" s="1"/>
      <c r="Q125" s="1"/>
      <c r="R125" s="1"/>
      <c r="S125" s="1"/>
      <c r="T125" s="1"/>
      <c r="U125" s="1"/>
      <c r="V125" s="1"/>
      <c r="W125" s="1"/>
      <c r="X125" s="1"/>
      <c r="Y125" s="1"/>
      <c r="Z125" s="1"/>
    </row>
    <row r="126" spans="1:26" ht="29.4" thickBot="1" x14ac:dyDescent="0.35">
      <c r="A126" s="1" t="s">
        <v>265</v>
      </c>
      <c r="B126" s="4">
        <v>45573</v>
      </c>
      <c r="C126" s="1" t="s">
        <v>231</v>
      </c>
      <c r="D126" s="1" t="s">
        <v>232</v>
      </c>
      <c r="E126" s="1" t="s">
        <v>44</v>
      </c>
      <c r="F126" s="1" t="s">
        <v>45</v>
      </c>
      <c r="G126" s="1" t="s">
        <v>46</v>
      </c>
      <c r="H126" s="5">
        <v>3</v>
      </c>
      <c r="I126" s="5">
        <v>149.99</v>
      </c>
      <c r="J126" s="1" t="s">
        <v>26</v>
      </c>
      <c r="K126" s="1" t="s">
        <v>35</v>
      </c>
      <c r="L126" s="1" t="s">
        <v>36</v>
      </c>
      <c r="M126" s="4">
        <v>44940</v>
      </c>
      <c r="N126" s="5">
        <v>449.97</v>
      </c>
      <c r="O126" s="1"/>
      <c r="P126" s="1"/>
      <c r="Q126" s="1"/>
      <c r="R126" s="1"/>
      <c r="S126" s="1"/>
      <c r="T126" s="1"/>
      <c r="U126" s="1"/>
      <c r="V126" s="1"/>
      <c r="W126" s="1"/>
      <c r="X126" s="1"/>
      <c r="Y126" s="1"/>
      <c r="Z126" s="1"/>
    </row>
    <row r="127" spans="1:26" ht="29.4" thickBot="1" x14ac:dyDescent="0.35">
      <c r="A127" s="1" t="s">
        <v>266</v>
      </c>
      <c r="B127" s="4">
        <v>45576</v>
      </c>
      <c r="C127" s="1" t="s">
        <v>147</v>
      </c>
      <c r="D127" s="1" t="s">
        <v>148</v>
      </c>
      <c r="E127" s="1" t="s">
        <v>105</v>
      </c>
      <c r="F127" s="1" t="s">
        <v>106</v>
      </c>
      <c r="G127" s="1" t="s">
        <v>46</v>
      </c>
      <c r="H127" s="5">
        <v>3</v>
      </c>
      <c r="I127" s="5">
        <v>299.99</v>
      </c>
      <c r="J127" s="1" t="s">
        <v>26</v>
      </c>
      <c r="K127" s="1" t="s">
        <v>21</v>
      </c>
      <c r="L127" s="1" t="s">
        <v>36</v>
      </c>
      <c r="M127" s="4">
        <v>45174</v>
      </c>
      <c r="N127" s="5">
        <v>899.97</v>
      </c>
      <c r="O127" s="1"/>
      <c r="P127" s="1"/>
      <c r="Q127" s="1"/>
      <c r="R127" s="1"/>
      <c r="S127" s="1"/>
      <c r="T127" s="1"/>
      <c r="U127" s="1"/>
      <c r="V127" s="1"/>
      <c r="W127" s="1"/>
      <c r="X127" s="1"/>
      <c r="Y127" s="1"/>
      <c r="Z127" s="1"/>
    </row>
    <row r="128" spans="1:26" ht="29.4" thickBot="1" x14ac:dyDescent="0.35">
      <c r="A128" s="1" t="s">
        <v>267</v>
      </c>
      <c r="B128" s="4">
        <v>45579</v>
      </c>
      <c r="C128" s="1" t="s">
        <v>83</v>
      </c>
      <c r="D128" s="1" t="s">
        <v>84</v>
      </c>
      <c r="E128" s="1" t="s">
        <v>61</v>
      </c>
      <c r="F128" s="1" t="s">
        <v>62</v>
      </c>
      <c r="G128" s="1" t="s">
        <v>19</v>
      </c>
      <c r="H128" s="5">
        <v>3</v>
      </c>
      <c r="I128" s="5">
        <v>899.99</v>
      </c>
      <c r="J128" s="1" t="s">
        <v>34</v>
      </c>
      <c r="K128" s="1" t="s">
        <v>50</v>
      </c>
      <c r="L128" s="1" t="s">
        <v>22</v>
      </c>
      <c r="M128" s="4">
        <v>45215</v>
      </c>
      <c r="N128" s="5">
        <v>2699.97</v>
      </c>
      <c r="O128" s="1"/>
      <c r="P128" s="1"/>
      <c r="Q128" s="1"/>
      <c r="R128" s="1"/>
      <c r="S128" s="1"/>
      <c r="T128" s="1"/>
      <c r="U128" s="1"/>
      <c r="V128" s="1"/>
      <c r="W128" s="1"/>
      <c r="X128" s="1"/>
      <c r="Y128" s="1"/>
      <c r="Z128" s="1"/>
    </row>
    <row r="129" spans="1:26" ht="29.4" thickBot="1" x14ac:dyDescent="0.35">
      <c r="A129" s="1" t="s">
        <v>268</v>
      </c>
      <c r="B129" s="4">
        <v>45581</v>
      </c>
      <c r="C129" s="1" t="s">
        <v>96</v>
      </c>
      <c r="D129" s="1" t="s">
        <v>97</v>
      </c>
      <c r="E129" s="1" t="s">
        <v>80</v>
      </c>
      <c r="F129" s="1" t="s">
        <v>81</v>
      </c>
      <c r="G129" s="1" t="s">
        <v>19</v>
      </c>
      <c r="H129" s="5">
        <v>5</v>
      </c>
      <c r="I129" s="5">
        <v>699.99</v>
      </c>
      <c r="J129" s="1" t="s">
        <v>20</v>
      </c>
      <c r="K129" s="1" t="s">
        <v>63</v>
      </c>
      <c r="L129" s="1" t="s">
        <v>36</v>
      </c>
      <c r="M129" s="4">
        <v>45008</v>
      </c>
      <c r="N129" s="5">
        <v>3499.95</v>
      </c>
      <c r="O129" s="1"/>
      <c r="P129" s="1"/>
      <c r="Q129" s="1"/>
      <c r="R129" s="1"/>
      <c r="S129" s="1"/>
      <c r="T129" s="1"/>
      <c r="U129" s="1"/>
      <c r="V129" s="1"/>
      <c r="W129" s="1"/>
      <c r="X129" s="1"/>
      <c r="Y129" s="1"/>
      <c r="Z129" s="1"/>
    </row>
    <row r="130" spans="1:26" ht="29.4" thickBot="1" x14ac:dyDescent="0.35">
      <c r="A130" s="1" t="s">
        <v>269</v>
      </c>
      <c r="B130" s="4">
        <v>45581</v>
      </c>
      <c r="C130" s="1" t="s">
        <v>171</v>
      </c>
      <c r="D130" s="1" t="s">
        <v>172</v>
      </c>
      <c r="E130" s="1" t="s">
        <v>80</v>
      </c>
      <c r="F130" s="1" t="s">
        <v>81</v>
      </c>
      <c r="G130" s="1" t="s">
        <v>19</v>
      </c>
      <c r="H130" s="5">
        <v>4</v>
      </c>
      <c r="I130" s="5">
        <v>699.99</v>
      </c>
      <c r="J130" s="1" t="s">
        <v>26</v>
      </c>
      <c r="K130" s="1" t="s">
        <v>21</v>
      </c>
      <c r="L130" s="1" t="s">
        <v>22</v>
      </c>
      <c r="M130" s="4">
        <v>45385</v>
      </c>
      <c r="N130" s="5">
        <v>2799.96</v>
      </c>
      <c r="O130" s="1"/>
      <c r="P130" s="1"/>
      <c r="Q130" s="1"/>
      <c r="R130" s="1"/>
      <c r="S130" s="1"/>
      <c r="T130" s="1"/>
      <c r="U130" s="1"/>
      <c r="V130" s="1"/>
      <c r="W130" s="1"/>
      <c r="X130" s="1"/>
      <c r="Y130" s="1"/>
      <c r="Z130" s="1"/>
    </row>
    <row r="131" spans="1:26" ht="29.4" thickBot="1" x14ac:dyDescent="0.35">
      <c r="A131" s="1" t="s">
        <v>270</v>
      </c>
      <c r="B131" s="4">
        <v>45581</v>
      </c>
      <c r="C131" s="1" t="s">
        <v>150</v>
      </c>
      <c r="D131" s="1" t="s">
        <v>151</v>
      </c>
      <c r="E131" s="1" t="s">
        <v>61</v>
      </c>
      <c r="F131" s="1" t="s">
        <v>62</v>
      </c>
      <c r="G131" s="1" t="s">
        <v>19</v>
      </c>
      <c r="H131" s="5">
        <v>1</v>
      </c>
      <c r="I131" s="5">
        <v>899.99</v>
      </c>
      <c r="J131" s="1" t="s">
        <v>26</v>
      </c>
      <c r="K131" s="1" t="s">
        <v>63</v>
      </c>
      <c r="L131" s="1" t="s">
        <v>36</v>
      </c>
      <c r="M131" s="4">
        <v>45369</v>
      </c>
      <c r="N131" s="5">
        <v>899.99</v>
      </c>
      <c r="O131" s="1"/>
      <c r="P131" s="1"/>
      <c r="Q131" s="1"/>
      <c r="R131" s="1"/>
      <c r="S131" s="1"/>
      <c r="T131" s="1"/>
      <c r="U131" s="1"/>
      <c r="V131" s="1"/>
      <c r="W131" s="1"/>
      <c r="X131" s="1"/>
      <c r="Y131" s="1"/>
      <c r="Z131" s="1"/>
    </row>
    <row r="132" spans="1:26" ht="29.4" thickBot="1" x14ac:dyDescent="0.35">
      <c r="A132" s="1" t="s">
        <v>271</v>
      </c>
      <c r="B132" s="4">
        <v>45583</v>
      </c>
      <c r="C132" s="1" t="s">
        <v>226</v>
      </c>
      <c r="D132" s="1" t="s">
        <v>227</v>
      </c>
      <c r="E132" s="1" t="s">
        <v>52</v>
      </c>
      <c r="F132" s="1" t="s">
        <v>53</v>
      </c>
      <c r="G132" s="1" t="s">
        <v>19</v>
      </c>
      <c r="H132" s="5">
        <v>2</v>
      </c>
      <c r="I132" s="5">
        <v>149.99</v>
      </c>
      <c r="J132" s="1" t="s">
        <v>26</v>
      </c>
      <c r="K132" s="1" t="s">
        <v>50</v>
      </c>
      <c r="L132" s="1" t="s">
        <v>22</v>
      </c>
      <c r="M132" s="4">
        <v>44916</v>
      </c>
      <c r="N132" s="5">
        <v>299.98</v>
      </c>
      <c r="O132" s="1"/>
      <c r="P132" s="1"/>
      <c r="Q132" s="1"/>
      <c r="R132" s="1"/>
      <c r="S132" s="1"/>
      <c r="T132" s="1"/>
      <c r="U132" s="1"/>
      <c r="V132" s="1"/>
      <c r="W132" s="1"/>
      <c r="X132" s="1"/>
      <c r="Y132" s="1"/>
      <c r="Z132" s="1"/>
    </row>
    <row r="133" spans="1:26" ht="29.4" thickBot="1" x14ac:dyDescent="0.35">
      <c r="A133" s="1" t="s">
        <v>272</v>
      </c>
      <c r="B133" s="4">
        <v>45586</v>
      </c>
      <c r="C133" s="1" t="s">
        <v>226</v>
      </c>
      <c r="D133" s="1" t="s">
        <v>227</v>
      </c>
      <c r="E133" s="1" t="s">
        <v>117</v>
      </c>
      <c r="F133" s="1" t="s">
        <v>118</v>
      </c>
      <c r="G133" s="1" t="s">
        <v>19</v>
      </c>
      <c r="H133" s="5">
        <v>3</v>
      </c>
      <c r="I133" s="5">
        <v>89.99</v>
      </c>
      <c r="J133" s="1" t="s">
        <v>34</v>
      </c>
      <c r="K133" s="1" t="s">
        <v>21</v>
      </c>
      <c r="L133" s="1" t="s">
        <v>22</v>
      </c>
      <c r="M133" s="4">
        <v>44551</v>
      </c>
      <c r="N133" s="5">
        <v>269.97000000000003</v>
      </c>
      <c r="O133" s="1"/>
      <c r="P133" s="1"/>
      <c r="Q133" s="1"/>
      <c r="R133" s="1"/>
      <c r="S133" s="1"/>
      <c r="T133" s="1"/>
      <c r="U133" s="1"/>
      <c r="V133" s="1"/>
      <c r="W133" s="1"/>
      <c r="X133" s="1"/>
      <c r="Y133" s="1"/>
      <c r="Z133" s="1"/>
    </row>
    <row r="134" spans="1:26" ht="29.4" thickBot="1" x14ac:dyDescent="0.35">
      <c r="A134" s="1" t="s">
        <v>273</v>
      </c>
      <c r="B134" s="4">
        <v>45588</v>
      </c>
      <c r="C134" s="1" t="s">
        <v>38</v>
      </c>
      <c r="D134" s="1" t="s">
        <v>39</v>
      </c>
      <c r="E134" s="1" t="s">
        <v>52</v>
      </c>
      <c r="F134" s="1" t="s">
        <v>53</v>
      </c>
      <c r="G134" s="1" t="s">
        <v>19</v>
      </c>
      <c r="H134" s="5">
        <v>2</v>
      </c>
      <c r="I134" s="5">
        <v>149.99</v>
      </c>
      <c r="J134" s="1" t="s">
        <v>34</v>
      </c>
      <c r="K134" s="1" t="s">
        <v>21</v>
      </c>
      <c r="L134" s="1" t="s">
        <v>22</v>
      </c>
      <c r="M134" s="4">
        <v>44473</v>
      </c>
      <c r="N134" s="5">
        <v>299.98</v>
      </c>
      <c r="O134" s="1"/>
      <c r="P134" s="1"/>
      <c r="Q134" s="1"/>
      <c r="R134" s="1"/>
      <c r="S134" s="1"/>
      <c r="T134" s="1"/>
      <c r="U134" s="1"/>
      <c r="V134" s="1"/>
      <c r="W134" s="1"/>
      <c r="X134" s="1"/>
      <c r="Y134" s="1"/>
      <c r="Z134" s="1"/>
    </row>
    <row r="135" spans="1:26" ht="29.4" thickBot="1" x14ac:dyDescent="0.35">
      <c r="A135" s="1" t="s">
        <v>274</v>
      </c>
      <c r="B135" s="4">
        <v>45588</v>
      </c>
      <c r="C135" s="1" t="s">
        <v>154</v>
      </c>
      <c r="D135" s="1" t="s">
        <v>155</v>
      </c>
      <c r="E135" s="1" t="s">
        <v>80</v>
      </c>
      <c r="F135" s="1" t="s">
        <v>81</v>
      </c>
      <c r="G135" s="1" t="s">
        <v>19</v>
      </c>
      <c r="H135" s="5">
        <v>2</v>
      </c>
      <c r="I135" s="5">
        <v>699.99</v>
      </c>
      <c r="J135" s="1" t="s">
        <v>20</v>
      </c>
      <c r="K135" s="1" t="s">
        <v>21</v>
      </c>
      <c r="L135" s="1" t="s">
        <v>22</v>
      </c>
      <c r="M135" s="4">
        <v>44992</v>
      </c>
      <c r="N135" s="5">
        <v>1399.98</v>
      </c>
      <c r="O135" s="1"/>
      <c r="P135" s="1"/>
      <c r="Q135" s="1"/>
      <c r="R135" s="1"/>
      <c r="S135" s="1"/>
      <c r="T135" s="1"/>
      <c r="U135" s="1"/>
      <c r="V135" s="1"/>
      <c r="W135" s="1"/>
      <c r="X135" s="1"/>
      <c r="Y135" s="1"/>
      <c r="Z135" s="1"/>
    </row>
    <row r="136" spans="1:26" ht="29.4" thickBot="1" x14ac:dyDescent="0.35">
      <c r="A136" s="1" t="s">
        <v>275</v>
      </c>
      <c r="B136" s="4">
        <v>45589</v>
      </c>
      <c r="C136" s="1" t="s">
        <v>158</v>
      </c>
      <c r="D136" s="1" t="s">
        <v>159</v>
      </c>
      <c r="E136" s="1" t="s">
        <v>80</v>
      </c>
      <c r="F136" s="1" t="s">
        <v>81</v>
      </c>
      <c r="G136" s="1" t="s">
        <v>19</v>
      </c>
      <c r="H136" s="5">
        <v>5</v>
      </c>
      <c r="I136" s="5">
        <v>699.99</v>
      </c>
      <c r="J136" s="1" t="s">
        <v>20</v>
      </c>
      <c r="K136" s="1" t="s">
        <v>40</v>
      </c>
      <c r="L136" s="1" t="s">
        <v>27</v>
      </c>
      <c r="M136" s="4">
        <v>44635</v>
      </c>
      <c r="N136" s="5">
        <v>3499.95</v>
      </c>
      <c r="O136" s="1"/>
      <c r="P136" s="1"/>
      <c r="Q136" s="1"/>
      <c r="R136" s="1"/>
      <c r="S136" s="1"/>
      <c r="T136" s="1"/>
      <c r="U136" s="1"/>
      <c r="V136" s="1"/>
      <c r="W136" s="1"/>
      <c r="X136" s="1"/>
      <c r="Y136" s="1"/>
      <c r="Z136" s="1"/>
    </row>
    <row r="137" spans="1:26" ht="29.4" thickBot="1" x14ac:dyDescent="0.35">
      <c r="A137" s="1" t="s">
        <v>276</v>
      </c>
      <c r="B137" s="4">
        <v>45592</v>
      </c>
      <c r="C137" s="1" t="s">
        <v>171</v>
      </c>
      <c r="D137" s="1" t="s">
        <v>172</v>
      </c>
      <c r="E137" s="1" t="s">
        <v>117</v>
      </c>
      <c r="F137" s="1" t="s">
        <v>118</v>
      </c>
      <c r="G137" s="1" t="s">
        <v>19</v>
      </c>
      <c r="H137" s="5">
        <v>3</v>
      </c>
      <c r="I137" s="5">
        <v>89.99</v>
      </c>
      <c r="J137" s="1" t="s">
        <v>26</v>
      </c>
      <c r="K137" s="1" t="s">
        <v>40</v>
      </c>
      <c r="L137" s="1" t="s">
        <v>36</v>
      </c>
      <c r="M137" s="4">
        <v>44615</v>
      </c>
      <c r="N137" s="5">
        <v>269.97000000000003</v>
      </c>
      <c r="O137" s="1"/>
      <c r="P137" s="1"/>
      <c r="Q137" s="1"/>
      <c r="R137" s="1"/>
      <c r="S137" s="1"/>
      <c r="T137" s="1"/>
      <c r="U137" s="1"/>
      <c r="V137" s="1"/>
      <c r="W137" s="1"/>
      <c r="X137" s="1"/>
      <c r="Y137" s="1"/>
      <c r="Z137" s="1"/>
    </row>
    <row r="138" spans="1:26" ht="29.4" thickBot="1" x14ac:dyDescent="0.35">
      <c r="A138" s="1" t="s">
        <v>277</v>
      </c>
      <c r="B138" s="4">
        <v>45597</v>
      </c>
      <c r="C138" s="1" t="s">
        <v>15</v>
      </c>
      <c r="D138" s="1" t="s">
        <v>16</v>
      </c>
      <c r="E138" s="1" t="s">
        <v>17</v>
      </c>
      <c r="F138" s="1" t="s">
        <v>18</v>
      </c>
      <c r="G138" s="1" t="s">
        <v>19</v>
      </c>
      <c r="H138" s="5">
        <v>5</v>
      </c>
      <c r="I138" s="5">
        <v>249.99</v>
      </c>
      <c r="J138" s="1" t="s">
        <v>26</v>
      </c>
      <c r="K138" s="1" t="s">
        <v>35</v>
      </c>
      <c r="L138" s="1" t="s">
        <v>36</v>
      </c>
      <c r="M138" s="4">
        <v>44881</v>
      </c>
      <c r="N138" s="5">
        <v>1249.95</v>
      </c>
      <c r="O138" s="1"/>
      <c r="P138" s="1"/>
      <c r="Q138" s="1"/>
      <c r="R138" s="1"/>
      <c r="S138" s="1"/>
      <c r="T138" s="1"/>
      <c r="U138" s="1"/>
      <c r="V138" s="1"/>
      <c r="W138" s="1"/>
      <c r="X138" s="1"/>
      <c r="Y138" s="1"/>
      <c r="Z138" s="1"/>
    </row>
    <row r="139" spans="1:26" ht="29.4" thickBot="1" x14ac:dyDescent="0.35">
      <c r="A139" s="1" t="s">
        <v>278</v>
      </c>
      <c r="B139" s="4">
        <v>45600</v>
      </c>
      <c r="C139" s="1" t="s">
        <v>65</v>
      </c>
      <c r="D139" s="1" t="s">
        <v>66</v>
      </c>
      <c r="E139" s="1" t="s">
        <v>105</v>
      </c>
      <c r="F139" s="1" t="s">
        <v>106</v>
      </c>
      <c r="G139" s="1" t="s">
        <v>46</v>
      </c>
      <c r="H139" s="5">
        <v>3</v>
      </c>
      <c r="I139" s="5">
        <v>299.99</v>
      </c>
      <c r="J139" s="1" t="s">
        <v>26</v>
      </c>
      <c r="K139" s="1" t="s">
        <v>35</v>
      </c>
      <c r="L139" s="1" t="s">
        <v>36</v>
      </c>
      <c r="M139" s="4">
        <v>44502</v>
      </c>
      <c r="N139" s="5">
        <v>899.97</v>
      </c>
      <c r="O139" s="1"/>
      <c r="P139" s="1"/>
      <c r="Q139" s="1"/>
      <c r="R139" s="1"/>
      <c r="S139" s="1"/>
      <c r="T139" s="1"/>
      <c r="U139" s="1"/>
      <c r="V139" s="1"/>
      <c r="W139" s="1"/>
      <c r="X139" s="1"/>
      <c r="Y139" s="1"/>
      <c r="Z139" s="1"/>
    </row>
    <row r="140" spans="1:26" ht="29.4" thickBot="1" x14ac:dyDescent="0.35">
      <c r="A140" s="1" t="s">
        <v>279</v>
      </c>
      <c r="B140" s="4">
        <v>45603</v>
      </c>
      <c r="C140" s="1" t="s">
        <v>99</v>
      </c>
      <c r="D140" s="1" t="s">
        <v>100</v>
      </c>
      <c r="E140" s="1" t="s">
        <v>117</v>
      </c>
      <c r="F140" s="1" t="s">
        <v>118</v>
      </c>
      <c r="G140" s="1" t="s">
        <v>19</v>
      </c>
      <c r="H140" s="5">
        <v>3</v>
      </c>
      <c r="I140" s="5">
        <v>89.99</v>
      </c>
      <c r="J140" s="1" t="s">
        <v>26</v>
      </c>
      <c r="K140" s="1" t="s">
        <v>40</v>
      </c>
      <c r="L140" s="1" t="s">
        <v>27</v>
      </c>
      <c r="M140" s="4">
        <v>44420</v>
      </c>
      <c r="N140" s="5">
        <v>269.97000000000003</v>
      </c>
      <c r="O140" s="1"/>
      <c r="P140" s="1"/>
      <c r="Q140" s="1"/>
      <c r="R140" s="1"/>
      <c r="S140" s="1"/>
      <c r="T140" s="1"/>
      <c r="U140" s="1"/>
      <c r="V140" s="1"/>
      <c r="W140" s="1"/>
      <c r="X140" s="1"/>
      <c r="Y140" s="1"/>
      <c r="Z140" s="1"/>
    </row>
    <row r="141" spans="1:26" ht="29.4" thickBot="1" x14ac:dyDescent="0.35">
      <c r="A141" s="1" t="s">
        <v>280</v>
      </c>
      <c r="B141" s="4">
        <v>45604</v>
      </c>
      <c r="C141" s="1" t="s">
        <v>89</v>
      </c>
      <c r="D141" s="1" t="s">
        <v>90</v>
      </c>
      <c r="E141" s="1" t="s">
        <v>44</v>
      </c>
      <c r="F141" s="1" t="s">
        <v>45</v>
      </c>
      <c r="G141" s="1" t="s">
        <v>46</v>
      </c>
      <c r="H141" s="5">
        <v>2</v>
      </c>
      <c r="I141" s="5">
        <v>149.99</v>
      </c>
      <c r="J141" s="1" t="s">
        <v>26</v>
      </c>
      <c r="K141" s="1" t="s">
        <v>50</v>
      </c>
      <c r="L141" s="1" t="s">
        <v>27</v>
      </c>
      <c r="M141" s="4">
        <v>44848</v>
      </c>
      <c r="N141" s="5">
        <v>299.98</v>
      </c>
      <c r="O141" s="1"/>
      <c r="P141" s="1"/>
      <c r="Q141" s="1"/>
      <c r="R141" s="1"/>
      <c r="S141" s="1"/>
      <c r="T141" s="1"/>
      <c r="U141" s="1"/>
      <c r="V141" s="1"/>
      <c r="W141" s="1"/>
      <c r="X141" s="1"/>
      <c r="Y141" s="1"/>
      <c r="Z141" s="1"/>
    </row>
    <row r="142" spans="1:26" ht="29.4" thickBot="1" x14ac:dyDescent="0.35">
      <c r="A142" s="1" t="s">
        <v>281</v>
      </c>
      <c r="B142" s="4">
        <v>45605</v>
      </c>
      <c r="C142" s="1" t="s">
        <v>185</v>
      </c>
      <c r="D142" s="1" t="s">
        <v>186</v>
      </c>
      <c r="E142" s="1" t="s">
        <v>17</v>
      </c>
      <c r="F142" s="1" t="s">
        <v>18</v>
      </c>
      <c r="G142" s="1" t="s">
        <v>19</v>
      </c>
      <c r="H142" s="5">
        <v>1</v>
      </c>
      <c r="I142" s="5">
        <v>249.99</v>
      </c>
      <c r="J142" s="1" t="s">
        <v>26</v>
      </c>
      <c r="K142" s="1" t="s">
        <v>40</v>
      </c>
      <c r="L142" s="1" t="s">
        <v>27</v>
      </c>
      <c r="M142" s="4">
        <v>44828</v>
      </c>
      <c r="N142" s="5">
        <v>249.99</v>
      </c>
      <c r="O142" s="1"/>
      <c r="P142" s="1"/>
      <c r="Q142" s="1"/>
      <c r="R142" s="1"/>
      <c r="S142" s="1"/>
      <c r="T142" s="1"/>
      <c r="U142" s="1"/>
      <c r="V142" s="1"/>
      <c r="W142" s="1"/>
      <c r="X142" s="1"/>
      <c r="Y142" s="1"/>
      <c r="Z142" s="1"/>
    </row>
    <row r="143" spans="1:26" ht="43.8" thickBot="1" x14ac:dyDescent="0.35">
      <c r="A143" s="1" t="s">
        <v>282</v>
      </c>
      <c r="B143" s="4">
        <v>45607</v>
      </c>
      <c r="C143" s="1" t="s">
        <v>72</v>
      </c>
      <c r="D143" s="1" t="s">
        <v>73</v>
      </c>
      <c r="E143" s="1" t="s">
        <v>52</v>
      </c>
      <c r="F143" s="1" t="s">
        <v>53</v>
      </c>
      <c r="G143" s="1" t="s">
        <v>19</v>
      </c>
      <c r="H143" s="5">
        <v>3</v>
      </c>
      <c r="I143" s="5">
        <v>149.99</v>
      </c>
      <c r="J143" s="1" t="s">
        <v>20</v>
      </c>
      <c r="K143" s="1" t="s">
        <v>40</v>
      </c>
      <c r="L143" s="1" t="s">
        <v>22</v>
      </c>
      <c r="M143" s="4">
        <v>44769</v>
      </c>
      <c r="N143" s="5">
        <v>449.97</v>
      </c>
      <c r="O143" s="1"/>
      <c r="P143" s="1"/>
      <c r="Q143" s="1"/>
      <c r="R143" s="1"/>
      <c r="S143" s="1"/>
      <c r="T143" s="1"/>
      <c r="U143" s="1"/>
      <c r="V143" s="1"/>
      <c r="W143" s="1"/>
      <c r="X143" s="1"/>
      <c r="Y143" s="1"/>
      <c r="Z143" s="1"/>
    </row>
    <row r="144" spans="1:26" ht="29.4" thickBot="1" x14ac:dyDescent="0.35">
      <c r="A144" s="1" t="s">
        <v>283</v>
      </c>
      <c r="B144" s="4">
        <v>45607</v>
      </c>
      <c r="C144" s="1" t="s">
        <v>15</v>
      </c>
      <c r="D144" s="1" t="s">
        <v>16</v>
      </c>
      <c r="E144" s="1" t="s">
        <v>31</v>
      </c>
      <c r="F144" s="1" t="s">
        <v>32</v>
      </c>
      <c r="G144" s="1" t="s">
        <v>33</v>
      </c>
      <c r="H144" s="5">
        <v>5</v>
      </c>
      <c r="I144" s="5">
        <v>59.99</v>
      </c>
      <c r="J144" s="1" t="s">
        <v>34</v>
      </c>
      <c r="K144" s="1" t="s">
        <v>50</v>
      </c>
      <c r="L144" s="1" t="s">
        <v>27</v>
      </c>
      <c r="M144" s="4">
        <v>44694</v>
      </c>
      <c r="N144" s="5">
        <v>299.95</v>
      </c>
      <c r="O144" s="1"/>
      <c r="P144" s="1"/>
      <c r="Q144" s="1"/>
      <c r="R144" s="1"/>
      <c r="S144" s="1"/>
      <c r="T144" s="1"/>
      <c r="U144" s="1"/>
      <c r="V144" s="1"/>
      <c r="W144" s="1"/>
      <c r="X144" s="1"/>
      <c r="Y144" s="1"/>
      <c r="Z144" s="1"/>
    </row>
    <row r="145" spans="1:26" ht="29.4" thickBot="1" x14ac:dyDescent="0.35">
      <c r="A145" s="1" t="s">
        <v>284</v>
      </c>
      <c r="B145" s="4">
        <v>45607</v>
      </c>
      <c r="C145" s="1" t="s">
        <v>99</v>
      </c>
      <c r="D145" s="1" t="s">
        <v>100</v>
      </c>
      <c r="E145" s="1" t="s">
        <v>17</v>
      </c>
      <c r="F145" s="1" t="s">
        <v>18</v>
      </c>
      <c r="G145" s="1" t="s">
        <v>19</v>
      </c>
      <c r="H145" s="5">
        <v>4</v>
      </c>
      <c r="I145" s="5">
        <v>249.99</v>
      </c>
      <c r="J145" s="1" t="s">
        <v>26</v>
      </c>
      <c r="K145" s="1" t="s">
        <v>50</v>
      </c>
      <c r="L145" s="1" t="s">
        <v>36</v>
      </c>
      <c r="M145" s="4">
        <v>44659</v>
      </c>
      <c r="N145" s="5">
        <v>999.96</v>
      </c>
      <c r="O145" s="1"/>
      <c r="P145" s="1"/>
      <c r="Q145" s="1"/>
      <c r="R145" s="1"/>
      <c r="S145" s="1"/>
      <c r="T145" s="1"/>
      <c r="U145" s="1"/>
      <c r="V145" s="1"/>
      <c r="W145" s="1"/>
      <c r="X145" s="1"/>
      <c r="Y145" s="1"/>
      <c r="Z145" s="1"/>
    </row>
    <row r="146" spans="1:26" ht="29.4" thickBot="1" x14ac:dyDescent="0.35">
      <c r="A146" s="1" t="s">
        <v>285</v>
      </c>
      <c r="B146" s="4">
        <v>45608</v>
      </c>
      <c r="C146" s="1" t="s">
        <v>154</v>
      </c>
      <c r="D146" s="1" t="s">
        <v>155</v>
      </c>
      <c r="E146" s="1" t="s">
        <v>44</v>
      </c>
      <c r="F146" s="1" t="s">
        <v>45</v>
      </c>
      <c r="G146" s="1" t="s">
        <v>46</v>
      </c>
      <c r="H146" s="5">
        <v>5</v>
      </c>
      <c r="I146" s="5">
        <v>149.99</v>
      </c>
      <c r="J146" s="1" t="s">
        <v>34</v>
      </c>
      <c r="K146" s="1" t="s">
        <v>21</v>
      </c>
      <c r="L146" s="1" t="s">
        <v>22</v>
      </c>
      <c r="M146" s="4">
        <v>44901</v>
      </c>
      <c r="N146" s="5">
        <v>749.95</v>
      </c>
      <c r="O146" s="1"/>
      <c r="P146" s="1"/>
      <c r="Q146" s="1"/>
      <c r="R146" s="1"/>
      <c r="S146" s="1"/>
      <c r="T146" s="1"/>
      <c r="U146" s="1"/>
      <c r="V146" s="1"/>
      <c r="W146" s="1"/>
      <c r="X146" s="1"/>
      <c r="Y146" s="1"/>
      <c r="Z146" s="1"/>
    </row>
    <row r="147" spans="1:26" ht="29.4" thickBot="1" x14ac:dyDescent="0.35">
      <c r="A147" s="1" t="s">
        <v>286</v>
      </c>
      <c r="B147" s="4">
        <v>45608</v>
      </c>
      <c r="C147" s="1" t="s">
        <v>83</v>
      </c>
      <c r="D147" s="1" t="s">
        <v>84</v>
      </c>
      <c r="E147" s="1" t="s">
        <v>31</v>
      </c>
      <c r="F147" s="1" t="s">
        <v>32</v>
      </c>
      <c r="G147" s="1" t="s">
        <v>33</v>
      </c>
      <c r="H147" s="5">
        <v>3</v>
      </c>
      <c r="I147" s="5">
        <v>59.99</v>
      </c>
      <c r="J147" s="1" t="s">
        <v>57</v>
      </c>
      <c r="K147" s="1" t="s">
        <v>35</v>
      </c>
      <c r="L147" s="1" t="s">
        <v>36</v>
      </c>
      <c r="M147" s="4">
        <v>45260</v>
      </c>
      <c r="N147" s="5">
        <v>179.97</v>
      </c>
      <c r="O147" s="1"/>
      <c r="P147" s="1"/>
      <c r="Q147" s="1"/>
      <c r="R147" s="1"/>
      <c r="S147" s="1"/>
      <c r="T147" s="1"/>
      <c r="U147" s="1"/>
      <c r="V147" s="1"/>
      <c r="W147" s="1"/>
      <c r="X147" s="1"/>
      <c r="Y147" s="1"/>
      <c r="Z147" s="1"/>
    </row>
    <row r="148" spans="1:26" ht="29.4" thickBot="1" x14ac:dyDescent="0.35">
      <c r="A148" s="1" t="s">
        <v>287</v>
      </c>
      <c r="B148" s="4">
        <v>45613</v>
      </c>
      <c r="C148" s="1" t="s">
        <v>234</v>
      </c>
      <c r="D148" s="1" t="s">
        <v>235</v>
      </c>
      <c r="E148" s="1" t="s">
        <v>44</v>
      </c>
      <c r="F148" s="1" t="s">
        <v>45</v>
      </c>
      <c r="G148" s="1" t="s">
        <v>46</v>
      </c>
      <c r="H148" s="5">
        <v>5</v>
      </c>
      <c r="I148" s="5">
        <v>149.99</v>
      </c>
      <c r="J148" s="1" t="s">
        <v>20</v>
      </c>
      <c r="K148" s="1" t="s">
        <v>40</v>
      </c>
      <c r="L148" s="1" t="s">
        <v>22</v>
      </c>
      <c r="M148" s="4">
        <v>44869</v>
      </c>
      <c r="N148" s="5">
        <v>749.95</v>
      </c>
      <c r="O148" s="1"/>
      <c r="P148" s="1"/>
      <c r="Q148" s="1"/>
      <c r="R148" s="1"/>
      <c r="S148" s="1"/>
      <c r="T148" s="1"/>
      <c r="U148" s="1"/>
      <c r="V148" s="1"/>
      <c r="W148" s="1"/>
      <c r="X148" s="1"/>
      <c r="Y148" s="1"/>
      <c r="Z148" s="1"/>
    </row>
    <row r="149" spans="1:26" ht="29.4" thickBot="1" x14ac:dyDescent="0.35">
      <c r="A149" s="1" t="s">
        <v>288</v>
      </c>
      <c r="B149" s="4">
        <v>45613</v>
      </c>
      <c r="C149" s="1" t="s">
        <v>86</v>
      </c>
      <c r="D149" s="1" t="s">
        <v>87</v>
      </c>
      <c r="E149" s="1" t="s">
        <v>80</v>
      </c>
      <c r="F149" s="1" t="s">
        <v>81</v>
      </c>
      <c r="G149" s="1" t="s">
        <v>19</v>
      </c>
      <c r="H149" s="5">
        <v>2</v>
      </c>
      <c r="I149" s="5">
        <v>699.99</v>
      </c>
      <c r="J149" s="1" t="s">
        <v>34</v>
      </c>
      <c r="K149" s="1" t="s">
        <v>50</v>
      </c>
      <c r="L149" s="1" t="s">
        <v>36</v>
      </c>
      <c r="M149" s="4">
        <v>44770</v>
      </c>
      <c r="N149" s="5">
        <v>1399.98</v>
      </c>
      <c r="O149" s="1"/>
      <c r="P149" s="1"/>
      <c r="Q149" s="1"/>
      <c r="R149" s="1"/>
      <c r="S149" s="1"/>
      <c r="T149" s="1"/>
      <c r="U149" s="1"/>
      <c r="V149" s="1"/>
      <c r="W149" s="1"/>
      <c r="X149" s="1"/>
      <c r="Y149" s="1"/>
      <c r="Z149" s="1"/>
    </row>
    <row r="150" spans="1:26" ht="29.4" thickBot="1" x14ac:dyDescent="0.35">
      <c r="A150" s="1" t="s">
        <v>289</v>
      </c>
      <c r="B150" s="4">
        <v>45617</v>
      </c>
      <c r="C150" s="1" t="s">
        <v>123</v>
      </c>
      <c r="D150" s="1" t="s">
        <v>124</v>
      </c>
      <c r="E150" s="1" t="s">
        <v>126</v>
      </c>
      <c r="F150" s="1" t="s">
        <v>127</v>
      </c>
      <c r="G150" s="1" t="s">
        <v>46</v>
      </c>
      <c r="H150" s="5">
        <v>4</v>
      </c>
      <c r="I150" s="5">
        <v>199.99</v>
      </c>
      <c r="J150" s="1" t="s">
        <v>57</v>
      </c>
      <c r="K150" s="1" t="s">
        <v>21</v>
      </c>
      <c r="L150" s="1" t="s">
        <v>27</v>
      </c>
      <c r="M150" s="4">
        <v>44427</v>
      </c>
      <c r="N150" s="5">
        <v>799.96</v>
      </c>
      <c r="O150" s="1"/>
      <c r="P150" s="1"/>
      <c r="Q150" s="1"/>
      <c r="R150" s="1"/>
      <c r="S150" s="1"/>
      <c r="T150" s="1"/>
      <c r="U150" s="1"/>
      <c r="V150" s="1"/>
      <c r="W150" s="1"/>
      <c r="X150" s="1"/>
      <c r="Y150" s="1"/>
      <c r="Z150" s="1"/>
    </row>
    <row r="151" spans="1:26" ht="29.4" thickBot="1" x14ac:dyDescent="0.35">
      <c r="A151" s="1" t="s">
        <v>290</v>
      </c>
      <c r="B151" s="4">
        <v>45619</v>
      </c>
      <c r="C151" s="1" t="s">
        <v>192</v>
      </c>
      <c r="D151" s="1" t="s">
        <v>193</v>
      </c>
      <c r="E151" s="1" t="s">
        <v>31</v>
      </c>
      <c r="F151" s="1" t="s">
        <v>32</v>
      </c>
      <c r="G151" s="1" t="s">
        <v>33</v>
      </c>
      <c r="H151" s="5">
        <v>1</v>
      </c>
      <c r="I151" s="5">
        <v>59.99</v>
      </c>
      <c r="J151" s="1" t="s">
        <v>57</v>
      </c>
      <c r="K151" s="1" t="s">
        <v>50</v>
      </c>
      <c r="L151" s="1" t="s">
        <v>36</v>
      </c>
      <c r="M151" s="4">
        <v>44560</v>
      </c>
      <c r="N151" s="5">
        <v>59.99</v>
      </c>
      <c r="O151" s="1"/>
      <c r="P151" s="1"/>
      <c r="Q151" s="1"/>
      <c r="R151" s="1"/>
      <c r="S151" s="1"/>
      <c r="T151" s="1"/>
      <c r="U151" s="1"/>
      <c r="V151" s="1"/>
      <c r="W151" s="1"/>
      <c r="X151" s="1"/>
      <c r="Y151" s="1"/>
      <c r="Z151" s="1"/>
    </row>
    <row r="152" spans="1:26" ht="29.4" thickBot="1" x14ac:dyDescent="0.35">
      <c r="A152" s="1" t="s">
        <v>291</v>
      </c>
      <c r="B152" s="4">
        <v>45619</v>
      </c>
      <c r="C152" s="1" t="s">
        <v>154</v>
      </c>
      <c r="D152" s="1" t="s">
        <v>155</v>
      </c>
      <c r="E152" s="1" t="s">
        <v>80</v>
      </c>
      <c r="F152" s="1" t="s">
        <v>81</v>
      </c>
      <c r="G152" s="1" t="s">
        <v>19</v>
      </c>
      <c r="H152" s="5">
        <v>3</v>
      </c>
      <c r="I152" s="5">
        <v>699.99</v>
      </c>
      <c r="J152" s="1" t="s">
        <v>34</v>
      </c>
      <c r="K152" s="1" t="s">
        <v>50</v>
      </c>
      <c r="L152" s="1" t="s">
        <v>36</v>
      </c>
      <c r="M152" s="4">
        <v>44583</v>
      </c>
      <c r="N152" s="5">
        <v>2099.9699999999998</v>
      </c>
      <c r="O152" s="1"/>
      <c r="P152" s="1"/>
      <c r="Q152" s="1"/>
      <c r="R152" s="1"/>
      <c r="S152" s="1"/>
      <c r="T152" s="1"/>
      <c r="U152" s="1"/>
      <c r="V152" s="1"/>
      <c r="W152" s="1"/>
      <c r="X152" s="1"/>
      <c r="Y152" s="1"/>
      <c r="Z152" s="1"/>
    </row>
    <row r="153" spans="1:26" ht="29.4" thickBot="1" x14ac:dyDescent="0.35">
      <c r="A153" s="1" t="s">
        <v>292</v>
      </c>
      <c r="B153" s="4">
        <v>45622</v>
      </c>
      <c r="C153" s="1" t="s">
        <v>293</v>
      </c>
      <c r="D153" s="1" t="s">
        <v>294</v>
      </c>
      <c r="E153" s="1" t="s">
        <v>17</v>
      </c>
      <c r="F153" s="1" t="s">
        <v>18</v>
      </c>
      <c r="G153" s="1" t="s">
        <v>19</v>
      </c>
      <c r="H153" s="5">
        <v>5</v>
      </c>
      <c r="I153" s="5">
        <v>249.99</v>
      </c>
      <c r="J153" s="1" t="s">
        <v>26</v>
      </c>
      <c r="K153" s="1" t="s">
        <v>40</v>
      </c>
      <c r="L153" s="1" t="s">
        <v>22</v>
      </c>
      <c r="M153" s="4">
        <v>44873</v>
      </c>
      <c r="N153" s="5">
        <v>1249.95</v>
      </c>
      <c r="O153" s="1"/>
      <c r="P153" s="1"/>
      <c r="Q153" s="1"/>
      <c r="R153" s="1"/>
      <c r="S153" s="1"/>
      <c r="T153" s="1"/>
      <c r="U153" s="1"/>
      <c r="V153" s="1"/>
      <c r="W153" s="1"/>
      <c r="X153" s="1"/>
      <c r="Y153" s="1"/>
      <c r="Z153" s="1"/>
    </row>
    <row r="154" spans="1:26" ht="29.4" thickBot="1" x14ac:dyDescent="0.35">
      <c r="A154" s="1" t="s">
        <v>295</v>
      </c>
      <c r="B154" s="4">
        <v>45623</v>
      </c>
      <c r="C154" s="1" t="s">
        <v>112</v>
      </c>
      <c r="D154" s="1" t="s">
        <v>113</v>
      </c>
      <c r="E154" s="1" t="s">
        <v>44</v>
      </c>
      <c r="F154" s="1" t="s">
        <v>45</v>
      </c>
      <c r="G154" s="1" t="s">
        <v>46</v>
      </c>
      <c r="H154" s="5">
        <v>2</v>
      </c>
      <c r="I154" s="5">
        <v>149.99</v>
      </c>
      <c r="J154" s="1" t="s">
        <v>20</v>
      </c>
      <c r="K154" s="1" t="s">
        <v>35</v>
      </c>
      <c r="L154" s="1" t="s">
        <v>36</v>
      </c>
      <c r="M154" s="4">
        <v>45101</v>
      </c>
      <c r="N154" s="5">
        <v>299.98</v>
      </c>
      <c r="O154" s="1"/>
      <c r="P154" s="1"/>
      <c r="Q154" s="1"/>
      <c r="R154" s="1"/>
      <c r="S154" s="1"/>
      <c r="T154" s="1"/>
      <c r="U154" s="1"/>
      <c r="V154" s="1"/>
      <c r="W154" s="1"/>
      <c r="X154" s="1"/>
      <c r="Y154" s="1"/>
      <c r="Z154" s="1"/>
    </row>
    <row r="155" spans="1:26" ht="29.4" thickBot="1" x14ac:dyDescent="0.35">
      <c r="A155" s="1" t="s">
        <v>296</v>
      </c>
      <c r="B155" s="4">
        <v>45627</v>
      </c>
      <c r="C155" s="1" t="s">
        <v>29</v>
      </c>
      <c r="D155" s="1" t="s">
        <v>30</v>
      </c>
      <c r="E155" s="1" t="s">
        <v>105</v>
      </c>
      <c r="F155" s="1" t="s">
        <v>106</v>
      </c>
      <c r="G155" s="1" t="s">
        <v>46</v>
      </c>
      <c r="H155" s="5">
        <v>3</v>
      </c>
      <c r="I155" s="5">
        <v>299.99</v>
      </c>
      <c r="J155" s="1" t="s">
        <v>20</v>
      </c>
      <c r="K155" s="1" t="s">
        <v>35</v>
      </c>
      <c r="L155" s="1" t="s">
        <v>27</v>
      </c>
      <c r="M155" s="4">
        <v>44659</v>
      </c>
      <c r="N155" s="5">
        <v>899.97</v>
      </c>
      <c r="O155" s="1"/>
      <c r="P155" s="1"/>
      <c r="Q155" s="1"/>
      <c r="R155" s="1"/>
      <c r="S155" s="1"/>
      <c r="T155" s="1"/>
      <c r="U155" s="1"/>
      <c r="V155" s="1"/>
      <c r="W155" s="1"/>
      <c r="X155" s="1"/>
      <c r="Y155" s="1"/>
      <c r="Z155" s="1"/>
    </row>
    <row r="156" spans="1:26" ht="29.4" thickBot="1" x14ac:dyDescent="0.35">
      <c r="A156" s="1" t="s">
        <v>297</v>
      </c>
      <c r="B156" s="4">
        <v>45627</v>
      </c>
      <c r="C156" s="1" t="s">
        <v>55</v>
      </c>
      <c r="D156" s="1" t="s">
        <v>56</v>
      </c>
      <c r="E156" s="1" t="s">
        <v>17</v>
      </c>
      <c r="F156" s="1" t="s">
        <v>18</v>
      </c>
      <c r="G156" s="1" t="s">
        <v>19</v>
      </c>
      <c r="H156" s="5">
        <v>5</v>
      </c>
      <c r="I156" s="5">
        <v>249.99</v>
      </c>
      <c r="J156" s="1" t="s">
        <v>20</v>
      </c>
      <c r="K156" s="1" t="s">
        <v>21</v>
      </c>
      <c r="L156" s="1" t="s">
        <v>27</v>
      </c>
      <c r="M156" s="4">
        <v>44485</v>
      </c>
      <c r="N156" s="5">
        <v>1249.95</v>
      </c>
      <c r="O156" s="1"/>
      <c r="P156" s="1"/>
      <c r="Q156" s="1"/>
      <c r="R156" s="1"/>
      <c r="S156" s="1"/>
      <c r="T156" s="1"/>
      <c r="U156" s="1"/>
      <c r="V156" s="1"/>
      <c r="W156" s="1"/>
      <c r="X156" s="1"/>
      <c r="Y156" s="1"/>
      <c r="Z156" s="1"/>
    </row>
    <row r="157" spans="1:26" ht="29.4" thickBot="1" x14ac:dyDescent="0.35">
      <c r="A157" s="1" t="s">
        <v>298</v>
      </c>
      <c r="B157" s="4">
        <v>45627</v>
      </c>
      <c r="C157" s="1" t="s">
        <v>24</v>
      </c>
      <c r="D157" s="1" t="s">
        <v>25</v>
      </c>
      <c r="E157" s="1" t="s">
        <v>52</v>
      </c>
      <c r="F157" s="1" t="s">
        <v>53</v>
      </c>
      <c r="G157" s="1" t="s">
        <v>19</v>
      </c>
      <c r="H157" s="5">
        <v>2</v>
      </c>
      <c r="I157" s="5">
        <v>149.99</v>
      </c>
      <c r="J157" s="1" t="s">
        <v>20</v>
      </c>
      <c r="K157" s="1" t="s">
        <v>35</v>
      </c>
      <c r="L157" s="1" t="s">
        <v>27</v>
      </c>
      <c r="M157" s="4">
        <v>44475</v>
      </c>
      <c r="N157" s="5">
        <v>299.98</v>
      </c>
      <c r="O157" s="1"/>
      <c r="P157" s="1"/>
      <c r="Q157" s="1"/>
      <c r="R157" s="1"/>
      <c r="S157" s="1"/>
      <c r="T157" s="1"/>
      <c r="U157" s="1"/>
      <c r="V157" s="1"/>
      <c r="W157" s="1"/>
      <c r="X157" s="1"/>
      <c r="Y157" s="1"/>
      <c r="Z157" s="1"/>
    </row>
    <row r="158" spans="1:26" ht="29.4" thickBot="1" x14ac:dyDescent="0.35">
      <c r="A158" s="1" t="s">
        <v>299</v>
      </c>
      <c r="B158" s="4">
        <v>45627</v>
      </c>
      <c r="C158" s="1" t="s">
        <v>86</v>
      </c>
      <c r="D158" s="1" t="s">
        <v>87</v>
      </c>
      <c r="E158" s="1" t="s">
        <v>80</v>
      </c>
      <c r="F158" s="1" t="s">
        <v>81</v>
      </c>
      <c r="G158" s="1" t="s">
        <v>19</v>
      </c>
      <c r="H158" s="5">
        <v>5</v>
      </c>
      <c r="I158" s="5">
        <v>699.99</v>
      </c>
      <c r="J158" s="1" t="s">
        <v>57</v>
      </c>
      <c r="K158" s="1" t="s">
        <v>50</v>
      </c>
      <c r="L158" s="1" t="s">
        <v>36</v>
      </c>
      <c r="M158" s="4">
        <v>44944</v>
      </c>
      <c r="N158" s="5">
        <v>3499.95</v>
      </c>
      <c r="O158" s="1"/>
      <c r="P158" s="1"/>
      <c r="Q158" s="1"/>
      <c r="R158" s="1"/>
      <c r="S158" s="1"/>
      <c r="T158" s="1"/>
      <c r="U158" s="1"/>
      <c r="V158" s="1"/>
      <c r="W158" s="1"/>
      <c r="X158" s="1"/>
      <c r="Y158" s="1"/>
      <c r="Z158" s="1"/>
    </row>
    <row r="159" spans="1:26" ht="29.4" thickBot="1" x14ac:dyDescent="0.35">
      <c r="A159" s="1" t="s">
        <v>300</v>
      </c>
      <c r="B159" s="4">
        <v>45629</v>
      </c>
      <c r="C159" s="1" t="s">
        <v>252</v>
      </c>
      <c r="D159" s="1" t="s">
        <v>253</v>
      </c>
      <c r="E159" s="1" t="s">
        <v>17</v>
      </c>
      <c r="F159" s="1" t="s">
        <v>18</v>
      </c>
      <c r="G159" s="1" t="s">
        <v>19</v>
      </c>
      <c r="H159" s="5">
        <v>4</v>
      </c>
      <c r="I159" s="5">
        <v>249.99</v>
      </c>
      <c r="J159" s="1" t="s">
        <v>34</v>
      </c>
      <c r="K159" s="1" t="s">
        <v>63</v>
      </c>
      <c r="L159" s="1" t="s">
        <v>27</v>
      </c>
      <c r="M159" s="4">
        <v>45098</v>
      </c>
      <c r="N159" s="5">
        <v>999.96</v>
      </c>
      <c r="O159" s="1"/>
      <c r="P159" s="1"/>
      <c r="Q159" s="1"/>
      <c r="R159" s="1"/>
      <c r="S159" s="1"/>
      <c r="T159" s="1"/>
      <c r="U159" s="1"/>
      <c r="V159" s="1"/>
      <c r="W159" s="1"/>
      <c r="X159" s="1"/>
      <c r="Y159" s="1"/>
      <c r="Z159" s="1"/>
    </row>
    <row r="160" spans="1:26" ht="29.4" thickBot="1" x14ac:dyDescent="0.35">
      <c r="A160" s="1" t="s">
        <v>301</v>
      </c>
      <c r="B160" s="4">
        <v>45630</v>
      </c>
      <c r="C160" s="1" t="s">
        <v>48</v>
      </c>
      <c r="D160" s="1" t="s">
        <v>49</v>
      </c>
      <c r="E160" s="1" t="s">
        <v>80</v>
      </c>
      <c r="F160" s="1" t="s">
        <v>81</v>
      </c>
      <c r="G160" s="1" t="s">
        <v>19</v>
      </c>
      <c r="H160" s="5">
        <v>4</v>
      </c>
      <c r="I160" s="5">
        <v>699.99</v>
      </c>
      <c r="J160" s="1" t="s">
        <v>26</v>
      </c>
      <c r="K160" s="1" t="s">
        <v>40</v>
      </c>
      <c r="L160" s="1" t="s">
        <v>27</v>
      </c>
      <c r="M160" s="4">
        <v>44703</v>
      </c>
      <c r="N160" s="5">
        <v>2799.96</v>
      </c>
      <c r="O160" s="1"/>
      <c r="P160" s="1"/>
      <c r="Q160" s="1"/>
      <c r="R160" s="1"/>
      <c r="S160" s="1"/>
      <c r="T160" s="1"/>
      <c r="U160" s="1"/>
      <c r="V160" s="1"/>
      <c r="W160" s="1"/>
      <c r="X160" s="1"/>
      <c r="Y160" s="1"/>
      <c r="Z160" s="1"/>
    </row>
    <row r="161" spans="1:26" ht="29.4" thickBot="1" x14ac:dyDescent="0.35">
      <c r="A161" s="1" t="s">
        <v>302</v>
      </c>
      <c r="B161" s="4">
        <v>45635</v>
      </c>
      <c r="C161" s="1" t="s">
        <v>108</v>
      </c>
      <c r="D161" s="1" t="s">
        <v>109</v>
      </c>
      <c r="E161" s="1" t="s">
        <v>17</v>
      </c>
      <c r="F161" s="1" t="s">
        <v>18</v>
      </c>
      <c r="G161" s="1" t="s">
        <v>19</v>
      </c>
      <c r="H161" s="5">
        <v>2</v>
      </c>
      <c r="I161" s="5">
        <v>249.99</v>
      </c>
      <c r="J161" s="1" t="s">
        <v>26</v>
      </c>
      <c r="K161" s="1" t="s">
        <v>21</v>
      </c>
      <c r="L161" s="1" t="s">
        <v>27</v>
      </c>
      <c r="M161" s="4">
        <v>44396</v>
      </c>
      <c r="N161" s="5">
        <v>499.98</v>
      </c>
      <c r="O161" s="1"/>
      <c r="P161" s="1"/>
      <c r="Q161" s="1"/>
      <c r="R161" s="1"/>
      <c r="S161" s="1"/>
      <c r="T161" s="1"/>
      <c r="U161" s="1"/>
      <c r="V161" s="1"/>
      <c r="W161" s="1"/>
      <c r="X161" s="1"/>
      <c r="Y161" s="1"/>
      <c r="Z161" s="1"/>
    </row>
    <row r="162" spans="1:26" ht="29.4" thickBot="1" x14ac:dyDescent="0.35">
      <c r="A162" s="1" t="s">
        <v>303</v>
      </c>
      <c r="B162" s="4">
        <v>45635</v>
      </c>
      <c r="C162" s="1" t="s">
        <v>304</v>
      </c>
      <c r="D162" s="1" t="s">
        <v>305</v>
      </c>
      <c r="E162" s="1" t="s">
        <v>31</v>
      </c>
      <c r="F162" s="1" t="s">
        <v>32</v>
      </c>
      <c r="G162" s="1" t="s">
        <v>33</v>
      </c>
      <c r="H162" s="5">
        <v>3</v>
      </c>
      <c r="I162" s="5">
        <v>59.99</v>
      </c>
      <c r="J162" s="1" t="s">
        <v>20</v>
      </c>
      <c r="K162" s="1" t="s">
        <v>21</v>
      </c>
      <c r="L162" s="1" t="s">
        <v>27</v>
      </c>
      <c r="M162" s="4">
        <v>45052</v>
      </c>
      <c r="N162" s="5">
        <v>179.97</v>
      </c>
      <c r="O162" s="1"/>
      <c r="P162" s="1"/>
      <c r="Q162" s="1"/>
      <c r="R162" s="1"/>
      <c r="S162" s="1"/>
      <c r="T162" s="1"/>
      <c r="U162" s="1"/>
      <c r="V162" s="1"/>
      <c r="W162" s="1"/>
      <c r="X162" s="1"/>
      <c r="Y162" s="1"/>
      <c r="Z162" s="1"/>
    </row>
    <row r="163" spans="1:26" ht="29.4" thickBot="1" x14ac:dyDescent="0.35">
      <c r="A163" s="1" t="s">
        <v>306</v>
      </c>
      <c r="B163" s="4">
        <v>45635</v>
      </c>
      <c r="C163" s="1" t="s">
        <v>141</v>
      </c>
      <c r="D163" s="1" t="s">
        <v>142</v>
      </c>
      <c r="E163" s="1" t="s">
        <v>114</v>
      </c>
      <c r="F163" s="1" t="s">
        <v>115</v>
      </c>
      <c r="G163" s="1" t="s">
        <v>33</v>
      </c>
      <c r="H163" s="5">
        <v>4</v>
      </c>
      <c r="I163" s="5">
        <v>79.989999999999995</v>
      </c>
      <c r="J163" s="1" t="s">
        <v>57</v>
      </c>
      <c r="K163" s="1" t="s">
        <v>63</v>
      </c>
      <c r="L163" s="1" t="s">
        <v>36</v>
      </c>
      <c r="M163" s="4">
        <v>44921</v>
      </c>
      <c r="N163" s="5">
        <v>319.95999999999998</v>
      </c>
      <c r="O163" s="1"/>
      <c r="P163" s="1"/>
      <c r="Q163" s="1"/>
      <c r="R163" s="1"/>
      <c r="S163" s="1"/>
      <c r="T163" s="1"/>
      <c r="U163" s="1"/>
      <c r="V163" s="1"/>
      <c r="W163" s="1"/>
      <c r="X163" s="1"/>
      <c r="Y163" s="1"/>
      <c r="Z163" s="1"/>
    </row>
    <row r="164" spans="1:26" ht="29.4" thickBot="1" x14ac:dyDescent="0.35">
      <c r="A164" s="1" t="s">
        <v>307</v>
      </c>
      <c r="B164" s="4">
        <v>45636</v>
      </c>
      <c r="C164" s="1" t="s">
        <v>120</v>
      </c>
      <c r="D164" s="1" t="s">
        <v>121</v>
      </c>
      <c r="E164" s="1" t="s">
        <v>114</v>
      </c>
      <c r="F164" s="1" t="s">
        <v>115</v>
      </c>
      <c r="G164" s="1" t="s">
        <v>33</v>
      </c>
      <c r="H164" s="5">
        <v>3</v>
      </c>
      <c r="I164" s="5">
        <v>79.989999999999995</v>
      </c>
      <c r="J164" s="1" t="s">
        <v>57</v>
      </c>
      <c r="K164" s="1" t="s">
        <v>63</v>
      </c>
      <c r="L164" s="1" t="s">
        <v>36</v>
      </c>
      <c r="M164" s="4">
        <v>44779</v>
      </c>
      <c r="N164" s="5">
        <v>239.97</v>
      </c>
      <c r="O164" s="1"/>
      <c r="P164" s="1"/>
      <c r="Q164" s="1"/>
      <c r="R164" s="1"/>
      <c r="S164" s="1"/>
      <c r="T164" s="1"/>
      <c r="U164" s="1"/>
      <c r="V164" s="1"/>
      <c r="W164" s="1"/>
      <c r="X164" s="1"/>
      <c r="Y164" s="1"/>
      <c r="Z164" s="1"/>
    </row>
    <row r="165" spans="1:26" ht="43.8" thickBot="1" x14ac:dyDescent="0.35">
      <c r="A165" s="1" t="s">
        <v>308</v>
      </c>
      <c r="B165" s="4">
        <v>45638</v>
      </c>
      <c r="C165" s="1" t="s">
        <v>72</v>
      </c>
      <c r="D165" s="1" t="s">
        <v>73</v>
      </c>
      <c r="E165" s="1" t="s">
        <v>61</v>
      </c>
      <c r="F165" s="1" t="s">
        <v>62</v>
      </c>
      <c r="G165" s="1" t="s">
        <v>19</v>
      </c>
      <c r="H165" s="5">
        <v>2</v>
      </c>
      <c r="I165" s="5">
        <v>899.99</v>
      </c>
      <c r="J165" s="1" t="s">
        <v>20</v>
      </c>
      <c r="K165" s="1" t="s">
        <v>40</v>
      </c>
      <c r="L165" s="1" t="s">
        <v>22</v>
      </c>
      <c r="M165" s="4">
        <v>44406</v>
      </c>
      <c r="N165" s="5">
        <v>1799.98</v>
      </c>
      <c r="O165" s="1"/>
      <c r="P165" s="1"/>
      <c r="Q165" s="1"/>
      <c r="R165" s="1"/>
      <c r="S165" s="1"/>
      <c r="T165" s="1"/>
      <c r="U165" s="1"/>
      <c r="V165" s="1"/>
      <c r="W165" s="1"/>
      <c r="X165" s="1"/>
      <c r="Y165" s="1"/>
      <c r="Z165" s="1"/>
    </row>
    <row r="166" spans="1:26" ht="29.4" thickBot="1" x14ac:dyDescent="0.35">
      <c r="A166" s="1" t="s">
        <v>309</v>
      </c>
      <c r="B166" s="4">
        <v>45641</v>
      </c>
      <c r="C166" s="1" t="s">
        <v>182</v>
      </c>
      <c r="D166" s="1" t="s">
        <v>183</v>
      </c>
      <c r="E166" s="1" t="s">
        <v>44</v>
      </c>
      <c r="F166" s="1" t="s">
        <v>45</v>
      </c>
      <c r="G166" s="1" t="s">
        <v>46</v>
      </c>
      <c r="H166" s="5">
        <v>1</v>
      </c>
      <c r="I166" s="5">
        <v>149.99</v>
      </c>
      <c r="J166" s="1" t="s">
        <v>57</v>
      </c>
      <c r="K166" s="1" t="s">
        <v>63</v>
      </c>
      <c r="L166" s="1" t="s">
        <v>36</v>
      </c>
      <c r="M166" s="4">
        <v>45200</v>
      </c>
      <c r="N166" s="5">
        <v>149.99</v>
      </c>
      <c r="O166" s="1"/>
      <c r="P166" s="1"/>
      <c r="Q166" s="1"/>
      <c r="R166" s="1"/>
      <c r="S166" s="1"/>
      <c r="T166" s="1"/>
      <c r="U166" s="1"/>
      <c r="V166" s="1"/>
      <c r="W166" s="1"/>
      <c r="X166" s="1"/>
      <c r="Y166" s="1"/>
      <c r="Z166" s="1"/>
    </row>
    <row r="167" spans="1:26" ht="29.4" thickBot="1" x14ac:dyDescent="0.35">
      <c r="A167" s="1" t="s">
        <v>310</v>
      </c>
      <c r="B167" s="4">
        <v>45641</v>
      </c>
      <c r="C167" s="1" t="s">
        <v>138</v>
      </c>
      <c r="D167" s="1" t="s">
        <v>139</v>
      </c>
      <c r="E167" s="1" t="s">
        <v>105</v>
      </c>
      <c r="F167" s="1" t="s">
        <v>106</v>
      </c>
      <c r="G167" s="1" t="s">
        <v>46</v>
      </c>
      <c r="H167" s="5">
        <v>2</v>
      </c>
      <c r="I167" s="5">
        <v>299.99</v>
      </c>
      <c r="J167" s="1" t="s">
        <v>20</v>
      </c>
      <c r="K167" s="1" t="s">
        <v>63</v>
      </c>
      <c r="L167" s="1" t="s">
        <v>27</v>
      </c>
      <c r="M167" s="4">
        <v>44724</v>
      </c>
      <c r="N167" s="5">
        <v>599.98</v>
      </c>
      <c r="O167" s="1"/>
      <c r="P167" s="1"/>
      <c r="Q167" s="1"/>
      <c r="R167" s="1"/>
      <c r="S167" s="1"/>
      <c r="T167" s="1"/>
      <c r="U167" s="1"/>
      <c r="V167" s="1"/>
      <c r="W167" s="1"/>
      <c r="X167" s="1"/>
      <c r="Y167" s="1"/>
      <c r="Z167" s="1"/>
    </row>
    <row r="168" spans="1:26" ht="29.4" thickBot="1" x14ac:dyDescent="0.35">
      <c r="A168" s="1" t="s">
        <v>311</v>
      </c>
      <c r="B168" s="4">
        <v>45644</v>
      </c>
      <c r="C168" s="1" t="s">
        <v>132</v>
      </c>
      <c r="D168" s="1" t="s">
        <v>133</v>
      </c>
      <c r="E168" s="1" t="s">
        <v>31</v>
      </c>
      <c r="F168" s="1" t="s">
        <v>32</v>
      </c>
      <c r="G168" s="1" t="s">
        <v>33</v>
      </c>
      <c r="H168" s="5">
        <v>2</v>
      </c>
      <c r="I168" s="5">
        <v>59.99</v>
      </c>
      <c r="J168" s="1" t="s">
        <v>20</v>
      </c>
      <c r="K168" s="1" t="s">
        <v>50</v>
      </c>
      <c r="L168" s="1" t="s">
        <v>22</v>
      </c>
      <c r="M168" s="4">
        <v>45191</v>
      </c>
      <c r="N168" s="5">
        <v>119.98</v>
      </c>
      <c r="O168" s="1"/>
      <c r="P168" s="1"/>
      <c r="Q168" s="1"/>
      <c r="R168" s="1"/>
      <c r="S168" s="1"/>
      <c r="T168" s="1"/>
      <c r="U168" s="1"/>
      <c r="V168" s="1"/>
      <c r="W168" s="1"/>
      <c r="X168" s="1"/>
      <c r="Y168" s="1"/>
      <c r="Z168" s="1"/>
    </row>
    <row r="169" spans="1:26" ht="29.4" thickBot="1" x14ac:dyDescent="0.35">
      <c r="A169" s="1" t="s">
        <v>312</v>
      </c>
      <c r="B169" s="4">
        <v>45645</v>
      </c>
      <c r="C169" s="1" t="s">
        <v>182</v>
      </c>
      <c r="D169" s="1" t="s">
        <v>183</v>
      </c>
      <c r="E169" s="1" t="s">
        <v>117</v>
      </c>
      <c r="F169" s="1" t="s">
        <v>118</v>
      </c>
      <c r="G169" s="1" t="s">
        <v>19</v>
      </c>
      <c r="H169" s="5">
        <v>1</v>
      </c>
      <c r="I169" s="5">
        <v>89.99</v>
      </c>
      <c r="J169" s="1" t="s">
        <v>57</v>
      </c>
      <c r="K169" s="1" t="s">
        <v>21</v>
      </c>
      <c r="L169" s="1" t="s">
        <v>36</v>
      </c>
      <c r="M169" s="4">
        <v>44760</v>
      </c>
      <c r="N169" s="5">
        <v>89.99</v>
      </c>
      <c r="O169" s="1"/>
      <c r="P169" s="1"/>
      <c r="Q169" s="1"/>
      <c r="R169" s="1"/>
      <c r="S169" s="1"/>
      <c r="T169" s="1"/>
      <c r="U169" s="1"/>
      <c r="V169" s="1"/>
      <c r="W169" s="1"/>
      <c r="X169" s="1"/>
      <c r="Y169" s="1"/>
      <c r="Z169" s="1"/>
    </row>
    <row r="170" spans="1:26" ht="29.4" thickBot="1" x14ac:dyDescent="0.35">
      <c r="A170" s="1" t="s">
        <v>313</v>
      </c>
      <c r="B170" s="4">
        <v>45645</v>
      </c>
      <c r="C170" s="1" t="s">
        <v>147</v>
      </c>
      <c r="D170" s="1" t="s">
        <v>148</v>
      </c>
      <c r="E170" s="1" t="s">
        <v>61</v>
      </c>
      <c r="F170" s="1" t="s">
        <v>62</v>
      </c>
      <c r="G170" s="1" t="s">
        <v>19</v>
      </c>
      <c r="H170" s="5">
        <v>5</v>
      </c>
      <c r="I170" s="5">
        <v>899.99</v>
      </c>
      <c r="J170" s="1" t="s">
        <v>57</v>
      </c>
      <c r="K170" s="1" t="s">
        <v>63</v>
      </c>
      <c r="L170" s="1" t="s">
        <v>36</v>
      </c>
      <c r="M170" s="4">
        <v>44625</v>
      </c>
      <c r="N170" s="5">
        <v>4499.95</v>
      </c>
      <c r="O170" s="1"/>
      <c r="P170" s="1"/>
      <c r="Q170" s="1"/>
      <c r="R170" s="1"/>
      <c r="S170" s="1"/>
      <c r="T170" s="1"/>
      <c r="U170" s="1"/>
      <c r="V170" s="1"/>
      <c r="W170" s="1"/>
      <c r="X170" s="1"/>
      <c r="Y170" s="1"/>
      <c r="Z170" s="1"/>
    </row>
    <row r="171" spans="1:26" ht="29.4" thickBot="1" x14ac:dyDescent="0.35">
      <c r="A171" s="1" t="s">
        <v>314</v>
      </c>
      <c r="B171" s="4">
        <v>45646</v>
      </c>
      <c r="C171" s="1" t="s">
        <v>42</v>
      </c>
      <c r="D171" s="1" t="s">
        <v>43</v>
      </c>
      <c r="E171" s="1" t="s">
        <v>44</v>
      </c>
      <c r="F171" s="1" t="s">
        <v>45</v>
      </c>
      <c r="G171" s="1" t="s">
        <v>46</v>
      </c>
      <c r="H171" s="5">
        <v>2</v>
      </c>
      <c r="I171" s="5">
        <v>149.99</v>
      </c>
      <c r="J171" s="1" t="s">
        <v>20</v>
      </c>
      <c r="K171" s="1" t="s">
        <v>35</v>
      </c>
      <c r="L171" s="1" t="s">
        <v>22</v>
      </c>
      <c r="M171" s="4">
        <v>45239</v>
      </c>
      <c r="N171" s="5">
        <v>299.98</v>
      </c>
      <c r="O171" s="1"/>
      <c r="P171" s="1"/>
      <c r="Q171" s="1"/>
      <c r="R171" s="1"/>
      <c r="S171" s="1"/>
      <c r="T171" s="1"/>
      <c r="U171" s="1"/>
      <c r="V171" s="1"/>
      <c r="W171" s="1"/>
      <c r="X171" s="1"/>
      <c r="Y171" s="1"/>
      <c r="Z171" s="1"/>
    </row>
    <row r="172" spans="1:26" ht="29.4" thickBot="1" x14ac:dyDescent="0.35">
      <c r="A172" s="1" t="s">
        <v>315</v>
      </c>
      <c r="B172" s="4">
        <v>45648</v>
      </c>
      <c r="C172" s="1" t="s">
        <v>112</v>
      </c>
      <c r="D172" s="1" t="s">
        <v>113</v>
      </c>
      <c r="E172" s="1" t="s">
        <v>52</v>
      </c>
      <c r="F172" s="1" t="s">
        <v>53</v>
      </c>
      <c r="G172" s="1" t="s">
        <v>19</v>
      </c>
      <c r="H172" s="5">
        <v>2</v>
      </c>
      <c r="I172" s="5">
        <v>149.99</v>
      </c>
      <c r="J172" s="1" t="s">
        <v>57</v>
      </c>
      <c r="K172" s="1" t="s">
        <v>50</v>
      </c>
      <c r="L172" s="1" t="s">
        <v>27</v>
      </c>
      <c r="M172" s="4">
        <v>45280</v>
      </c>
      <c r="N172" s="5">
        <v>299.98</v>
      </c>
      <c r="O172" s="1"/>
      <c r="P172" s="1"/>
      <c r="Q172" s="1"/>
      <c r="R172" s="1"/>
      <c r="S172" s="1"/>
      <c r="T172" s="1"/>
      <c r="U172" s="1"/>
      <c r="V172" s="1"/>
      <c r="W172" s="1"/>
      <c r="X172" s="1"/>
      <c r="Y172" s="1"/>
      <c r="Z172" s="1"/>
    </row>
    <row r="173" spans="1:26" ht="29.4" thickBot="1" x14ac:dyDescent="0.35">
      <c r="A173" s="1" t="s">
        <v>316</v>
      </c>
      <c r="B173" s="4">
        <v>45648</v>
      </c>
      <c r="C173" s="1" t="s">
        <v>182</v>
      </c>
      <c r="D173" s="1" t="s">
        <v>183</v>
      </c>
      <c r="E173" s="1" t="s">
        <v>44</v>
      </c>
      <c r="F173" s="1" t="s">
        <v>45</v>
      </c>
      <c r="G173" s="1" t="s">
        <v>46</v>
      </c>
      <c r="H173" s="5">
        <v>3</v>
      </c>
      <c r="I173" s="5">
        <v>149.99</v>
      </c>
      <c r="J173" s="1" t="s">
        <v>57</v>
      </c>
      <c r="K173" s="1" t="s">
        <v>40</v>
      </c>
      <c r="L173" s="1" t="s">
        <v>36</v>
      </c>
      <c r="M173" s="4">
        <v>44522</v>
      </c>
      <c r="N173" s="5">
        <v>449.97</v>
      </c>
      <c r="O173" s="1"/>
      <c r="P173" s="1"/>
      <c r="Q173" s="1"/>
      <c r="R173" s="1"/>
      <c r="S173" s="1"/>
      <c r="T173" s="1"/>
      <c r="U173" s="1"/>
      <c r="V173" s="1"/>
      <c r="W173" s="1"/>
      <c r="X173" s="1"/>
      <c r="Y173" s="1"/>
      <c r="Z173" s="1"/>
    </row>
    <row r="174" spans="1:26" ht="29.4" thickBot="1" x14ac:dyDescent="0.35">
      <c r="A174" s="1" t="s">
        <v>317</v>
      </c>
      <c r="B174" s="4">
        <v>45649</v>
      </c>
      <c r="C174" s="1" t="s">
        <v>29</v>
      </c>
      <c r="D174" s="1" t="s">
        <v>30</v>
      </c>
      <c r="E174" s="1" t="s">
        <v>105</v>
      </c>
      <c r="F174" s="1" t="s">
        <v>106</v>
      </c>
      <c r="G174" s="1" t="s">
        <v>46</v>
      </c>
      <c r="H174" s="5">
        <v>2</v>
      </c>
      <c r="I174" s="5">
        <v>299.99</v>
      </c>
      <c r="J174" s="1" t="s">
        <v>34</v>
      </c>
      <c r="K174" s="1" t="s">
        <v>35</v>
      </c>
      <c r="L174" s="1" t="s">
        <v>22</v>
      </c>
      <c r="M174" s="4">
        <v>44721</v>
      </c>
      <c r="N174" s="5">
        <v>599.98</v>
      </c>
      <c r="O174" s="1"/>
      <c r="P174" s="1"/>
      <c r="Q174" s="1"/>
      <c r="R174" s="1"/>
      <c r="S174" s="1"/>
      <c r="T174" s="1"/>
      <c r="U174" s="1"/>
      <c r="V174" s="1"/>
      <c r="W174" s="1"/>
      <c r="X174" s="1"/>
      <c r="Y174" s="1"/>
      <c r="Z174" s="1"/>
    </row>
    <row r="175" spans="1:26" ht="29.4" thickBot="1" x14ac:dyDescent="0.35">
      <c r="A175" s="1" t="s">
        <v>318</v>
      </c>
      <c r="B175" s="4">
        <v>45654</v>
      </c>
      <c r="C175" s="1" t="s">
        <v>42</v>
      </c>
      <c r="D175" s="1" t="s">
        <v>43</v>
      </c>
      <c r="E175" s="1" t="s">
        <v>105</v>
      </c>
      <c r="F175" s="1" t="s">
        <v>106</v>
      </c>
      <c r="G175" s="1" t="s">
        <v>46</v>
      </c>
      <c r="H175" s="5">
        <v>2</v>
      </c>
      <c r="I175" s="5">
        <v>299.99</v>
      </c>
      <c r="J175" s="1" t="s">
        <v>20</v>
      </c>
      <c r="K175" s="1" t="s">
        <v>50</v>
      </c>
      <c r="L175" s="1" t="s">
        <v>22</v>
      </c>
      <c r="M175" s="4">
        <v>44771</v>
      </c>
      <c r="N175" s="5">
        <v>599.98</v>
      </c>
      <c r="O175" s="1"/>
      <c r="P175" s="1"/>
      <c r="Q175" s="1"/>
      <c r="R175" s="1"/>
      <c r="S175" s="1"/>
      <c r="T175" s="1"/>
      <c r="U175" s="1"/>
      <c r="V175" s="1"/>
      <c r="W175" s="1"/>
      <c r="X175" s="1"/>
      <c r="Y175" s="1"/>
      <c r="Z175" s="1"/>
    </row>
    <row r="176" spans="1:26" ht="29.4" thickBot="1" x14ac:dyDescent="0.35">
      <c r="A176" s="1" t="s">
        <v>319</v>
      </c>
      <c r="B176" s="4">
        <v>45654</v>
      </c>
      <c r="C176" s="1" t="s">
        <v>120</v>
      </c>
      <c r="D176" s="1" t="s">
        <v>121</v>
      </c>
      <c r="E176" s="1" t="s">
        <v>126</v>
      </c>
      <c r="F176" s="1" t="s">
        <v>127</v>
      </c>
      <c r="G176" s="1" t="s">
        <v>46</v>
      </c>
      <c r="H176" s="5">
        <v>4</v>
      </c>
      <c r="I176" s="5">
        <v>199.99</v>
      </c>
      <c r="J176" s="1" t="s">
        <v>26</v>
      </c>
      <c r="K176" s="1" t="s">
        <v>21</v>
      </c>
      <c r="L176" s="1" t="s">
        <v>22</v>
      </c>
      <c r="M176" s="4">
        <v>44523</v>
      </c>
      <c r="N176" s="5">
        <v>799.96</v>
      </c>
      <c r="O176" s="1"/>
      <c r="P176" s="1"/>
      <c r="Q176" s="1"/>
      <c r="R176" s="1"/>
      <c r="S176" s="1"/>
      <c r="T176" s="1"/>
      <c r="U176" s="1"/>
      <c r="V176" s="1"/>
      <c r="W176" s="1"/>
      <c r="X176" s="1"/>
      <c r="Y176" s="1"/>
      <c r="Z176" s="1"/>
    </row>
    <row r="177" spans="1:26" ht="29.4" thickBot="1" x14ac:dyDescent="0.35">
      <c r="A177" s="1" t="s">
        <v>320</v>
      </c>
      <c r="B177" s="4">
        <v>45655</v>
      </c>
      <c r="C177" s="1" t="s">
        <v>59</v>
      </c>
      <c r="D177" s="1" t="s">
        <v>60</v>
      </c>
      <c r="E177" s="1" t="s">
        <v>117</v>
      </c>
      <c r="F177" s="1" t="s">
        <v>118</v>
      </c>
      <c r="G177" s="1" t="s">
        <v>19</v>
      </c>
      <c r="H177" s="5">
        <v>1</v>
      </c>
      <c r="I177" s="5">
        <v>89.99</v>
      </c>
      <c r="J177" s="1" t="s">
        <v>26</v>
      </c>
      <c r="K177" s="1" t="s">
        <v>35</v>
      </c>
      <c r="L177" s="1" t="s">
        <v>27</v>
      </c>
      <c r="M177" s="4">
        <v>44591</v>
      </c>
      <c r="N177" s="5">
        <v>89.99</v>
      </c>
      <c r="O177" s="1"/>
      <c r="P177" s="1"/>
      <c r="Q177" s="1"/>
      <c r="R177" s="1"/>
      <c r="S177" s="1"/>
      <c r="T177" s="1"/>
      <c r="U177" s="1"/>
      <c r="V177" s="1"/>
      <c r="W177" s="1"/>
      <c r="X177" s="1"/>
      <c r="Y177" s="1"/>
      <c r="Z177" s="1"/>
    </row>
    <row r="178" spans="1:26" ht="29.4" thickBot="1" x14ac:dyDescent="0.35">
      <c r="A178" s="1" t="s">
        <v>321</v>
      </c>
      <c r="B178" s="4">
        <v>45655</v>
      </c>
      <c r="C178" s="1" t="s">
        <v>108</v>
      </c>
      <c r="D178" s="1" t="s">
        <v>109</v>
      </c>
      <c r="E178" s="1" t="s">
        <v>44</v>
      </c>
      <c r="F178" s="1" t="s">
        <v>45</v>
      </c>
      <c r="G178" s="1" t="s">
        <v>46</v>
      </c>
      <c r="H178" s="5">
        <v>5</v>
      </c>
      <c r="I178" s="5">
        <v>149.99</v>
      </c>
      <c r="J178" s="1" t="s">
        <v>20</v>
      </c>
      <c r="K178" s="1" t="s">
        <v>21</v>
      </c>
      <c r="L178" s="1" t="s">
        <v>27</v>
      </c>
      <c r="M178" s="4">
        <v>45347</v>
      </c>
      <c r="N178" s="5">
        <v>749.95</v>
      </c>
      <c r="O178" s="1"/>
      <c r="P178" s="1"/>
      <c r="Q178" s="1"/>
      <c r="R178" s="1"/>
      <c r="S178" s="1"/>
      <c r="T178" s="1"/>
      <c r="U178" s="1"/>
      <c r="V178" s="1"/>
      <c r="W178" s="1"/>
      <c r="X178" s="1"/>
      <c r="Y178" s="1"/>
      <c r="Z178" s="1"/>
    </row>
    <row r="179" spans="1:26" ht="29.4" thickBot="1" x14ac:dyDescent="0.35">
      <c r="A179" s="1" t="s">
        <v>322</v>
      </c>
      <c r="B179" s="4">
        <v>45657</v>
      </c>
      <c r="C179" s="1" t="s">
        <v>86</v>
      </c>
      <c r="D179" s="1" t="s">
        <v>87</v>
      </c>
      <c r="E179" s="1" t="s">
        <v>61</v>
      </c>
      <c r="F179" s="1" t="s">
        <v>62</v>
      </c>
      <c r="G179" s="1" t="s">
        <v>19</v>
      </c>
      <c r="H179" s="5">
        <v>1</v>
      </c>
      <c r="I179" s="5">
        <v>899.99</v>
      </c>
      <c r="J179" s="1" t="s">
        <v>34</v>
      </c>
      <c r="K179" s="1" t="s">
        <v>40</v>
      </c>
      <c r="L179" s="1" t="s">
        <v>27</v>
      </c>
      <c r="M179" s="4">
        <v>45050</v>
      </c>
      <c r="N179" s="5">
        <v>899.99</v>
      </c>
      <c r="O179" s="1"/>
      <c r="P179" s="1"/>
      <c r="Q179" s="1"/>
      <c r="R179" s="1"/>
      <c r="S179" s="1"/>
      <c r="T179" s="1"/>
      <c r="U179" s="1"/>
      <c r="V179" s="1"/>
      <c r="W179" s="1"/>
      <c r="X179" s="1"/>
      <c r="Y179" s="1"/>
      <c r="Z179" s="1"/>
    </row>
    <row r="180" spans="1:26" ht="29.4" thickBot="1" x14ac:dyDescent="0.35">
      <c r="A180" s="1" t="s">
        <v>323</v>
      </c>
      <c r="B180" s="4">
        <v>45660</v>
      </c>
      <c r="C180" s="1" t="s">
        <v>147</v>
      </c>
      <c r="D180" s="1" t="s">
        <v>148</v>
      </c>
      <c r="E180" s="1" t="s">
        <v>117</v>
      </c>
      <c r="F180" s="1" t="s">
        <v>118</v>
      </c>
      <c r="G180" s="1" t="s">
        <v>19</v>
      </c>
      <c r="H180" s="5">
        <v>2</v>
      </c>
      <c r="I180" s="5">
        <v>89.99</v>
      </c>
      <c r="J180" s="1" t="s">
        <v>26</v>
      </c>
      <c r="K180" s="1" t="s">
        <v>35</v>
      </c>
      <c r="L180" s="1" t="s">
        <v>27</v>
      </c>
      <c r="M180" s="4">
        <v>44564</v>
      </c>
      <c r="N180" s="5">
        <v>179.98</v>
      </c>
      <c r="O180" s="1"/>
      <c r="P180" s="1"/>
      <c r="Q180" s="1"/>
      <c r="R180" s="1"/>
      <c r="S180" s="1"/>
      <c r="T180" s="1"/>
      <c r="U180" s="1"/>
      <c r="V180" s="1"/>
      <c r="W180" s="1"/>
      <c r="X180" s="1"/>
      <c r="Y180" s="1"/>
      <c r="Z180" s="1"/>
    </row>
    <row r="181" spans="1:26" ht="29.4" thickBot="1" x14ac:dyDescent="0.35">
      <c r="A181" s="1" t="s">
        <v>324</v>
      </c>
      <c r="B181" s="4">
        <v>45661</v>
      </c>
      <c r="C181" s="1" t="s">
        <v>325</v>
      </c>
      <c r="D181" s="1" t="s">
        <v>326</v>
      </c>
      <c r="E181" s="1" t="s">
        <v>61</v>
      </c>
      <c r="F181" s="1" t="s">
        <v>62</v>
      </c>
      <c r="G181" s="1" t="s">
        <v>19</v>
      </c>
      <c r="H181" s="5">
        <v>1</v>
      </c>
      <c r="I181" s="5">
        <v>899.99</v>
      </c>
      <c r="J181" s="1" t="s">
        <v>34</v>
      </c>
      <c r="K181" s="1" t="s">
        <v>40</v>
      </c>
      <c r="L181" s="1" t="s">
        <v>36</v>
      </c>
      <c r="M181" s="4">
        <v>44752</v>
      </c>
      <c r="N181" s="5">
        <v>899.99</v>
      </c>
      <c r="O181" s="1"/>
      <c r="P181" s="1"/>
      <c r="Q181" s="1"/>
      <c r="R181" s="1"/>
      <c r="S181" s="1"/>
      <c r="T181" s="1"/>
      <c r="U181" s="1"/>
      <c r="V181" s="1"/>
      <c r="W181" s="1"/>
      <c r="X181" s="1"/>
      <c r="Y181" s="1"/>
      <c r="Z181" s="1"/>
    </row>
    <row r="182" spans="1:26" ht="29.4" thickBot="1" x14ac:dyDescent="0.35">
      <c r="A182" s="1" t="s">
        <v>327</v>
      </c>
      <c r="B182" s="4">
        <v>45663</v>
      </c>
      <c r="C182" s="1" t="s">
        <v>129</v>
      </c>
      <c r="D182" s="1" t="s">
        <v>130</v>
      </c>
      <c r="E182" s="1" t="s">
        <v>52</v>
      </c>
      <c r="F182" s="1" t="s">
        <v>53</v>
      </c>
      <c r="G182" s="1" t="s">
        <v>19</v>
      </c>
      <c r="H182" s="5">
        <v>5</v>
      </c>
      <c r="I182" s="5">
        <v>149.99</v>
      </c>
      <c r="J182" s="1" t="s">
        <v>34</v>
      </c>
      <c r="K182" s="1" t="s">
        <v>63</v>
      </c>
      <c r="L182" s="1" t="s">
        <v>27</v>
      </c>
      <c r="M182" s="4">
        <v>44824</v>
      </c>
      <c r="N182" s="5">
        <v>749.95</v>
      </c>
      <c r="O182" s="1"/>
      <c r="P182" s="1"/>
      <c r="Q182" s="1"/>
      <c r="R182" s="1"/>
      <c r="S182" s="1"/>
      <c r="T182" s="1"/>
      <c r="U182" s="1"/>
      <c r="V182" s="1"/>
      <c r="W182" s="1"/>
      <c r="X182" s="1"/>
      <c r="Y182" s="1"/>
      <c r="Z182" s="1"/>
    </row>
    <row r="183" spans="1:26" ht="29.4" thickBot="1" x14ac:dyDescent="0.35">
      <c r="A183" s="1" t="s">
        <v>328</v>
      </c>
      <c r="B183" s="4">
        <v>45663</v>
      </c>
      <c r="C183" s="1" t="s">
        <v>42</v>
      </c>
      <c r="D183" s="1" t="s">
        <v>43</v>
      </c>
      <c r="E183" s="1" t="s">
        <v>105</v>
      </c>
      <c r="F183" s="1" t="s">
        <v>106</v>
      </c>
      <c r="G183" s="1" t="s">
        <v>46</v>
      </c>
      <c r="H183" s="5">
        <v>3</v>
      </c>
      <c r="I183" s="5">
        <v>299.99</v>
      </c>
      <c r="J183" s="1" t="s">
        <v>20</v>
      </c>
      <c r="K183" s="1" t="s">
        <v>35</v>
      </c>
      <c r="L183" s="1" t="s">
        <v>36</v>
      </c>
      <c r="M183" s="4">
        <v>44422</v>
      </c>
      <c r="N183" s="5">
        <v>899.97</v>
      </c>
      <c r="O183" s="1"/>
      <c r="P183" s="1"/>
      <c r="Q183" s="1"/>
      <c r="R183" s="1"/>
      <c r="S183" s="1"/>
      <c r="T183" s="1"/>
      <c r="U183" s="1"/>
      <c r="V183" s="1"/>
      <c r="W183" s="1"/>
      <c r="X183" s="1"/>
      <c r="Y183" s="1"/>
      <c r="Z183" s="1"/>
    </row>
    <row r="184" spans="1:26" ht="29.4" thickBot="1" x14ac:dyDescent="0.35">
      <c r="A184" s="1" t="s">
        <v>329</v>
      </c>
      <c r="B184" s="4">
        <v>45666</v>
      </c>
      <c r="C184" s="1" t="s">
        <v>65</v>
      </c>
      <c r="D184" s="1" t="s">
        <v>66</v>
      </c>
      <c r="E184" s="1" t="s">
        <v>80</v>
      </c>
      <c r="F184" s="1" t="s">
        <v>81</v>
      </c>
      <c r="G184" s="1" t="s">
        <v>19</v>
      </c>
      <c r="H184" s="5">
        <v>3</v>
      </c>
      <c r="I184" s="5">
        <v>699.99</v>
      </c>
      <c r="J184" s="1" t="s">
        <v>26</v>
      </c>
      <c r="K184" s="1" t="s">
        <v>21</v>
      </c>
      <c r="L184" s="1" t="s">
        <v>27</v>
      </c>
      <c r="M184" s="4">
        <v>45105</v>
      </c>
      <c r="N184" s="5">
        <v>2099.9699999999998</v>
      </c>
      <c r="O184" s="1"/>
      <c r="P184" s="1"/>
      <c r="Q184" s="1"/>
      <c r="R184" s="1"/>
      <c r="S184" s="1"/>
      <c r="T184" s="1"/>
      <c r="U184" s="1"/>
      <c r="V184" s="1"/>
      <c r="W184" s="1"/>
      <c r="X184" s="1"/>
      <c r="Y184" s="1"/>
      <c r="Z184" s="1"/>
    </row>
    <row r="185" spans="1:26" ht="29.4" thickBot="1" x14ac:dyDescent="0.35">
      <c r="A185" s="1" t="s">
        <v>330</v>
      </c>
      <c r="B185" s="4">
        <v>45667</v>
      </c>
      <c r="C185" s="1" t="s">
        <v>108</v>
      </c>
      <c r="D185" s="1" t="s">
        <v>109</v>
      </c>
      <c r="E185" s="1" t="s">
        <v>126</v>
      </c>
      <c r="F185" s="1" t="s">
        <v>127</v>
      </c>
      <c r="G185" s="1" t="s">
        <v>46</v>
      </c>
      <c r="H185" s="5">
        <v>5</v>
      </c>
      <c r="I185" s="5">
        <v>199.99</v>
      </c>
      <c r="J185" s="1" t="s">
        <v>34</v>
      </c>
      <c r="K185" s="1" t="s">
        <v>21</v>
      </c>
      <c r="L185" s="1" t="s">
        <v>36</v>
      </c>
      <c r="M185" s="4">
        <v>44633</v>
      </c>
      <c r="N185" s="5">
        <v>999.95</v>
      </c>
      <c r="O185" s="1"/>
      <c r="P185" s="1"/>
      <c r="Q185" s="1"/>
      <c r="R185" s="1"/>
      <c r="S185" s="1"/>
      <c r="T185" s="1"/>
      <c r="U185" s="1"/>
      <c r="V185" s="1"/>
      <c r="W185" s="1"/>
      <c r="X185" s="1"/>
      <c r="Y185" s="1"/>
      <c r="Z185" s="1"/>
    </row>
    <row r="186" spans="1:26" ht="29.4" thickBot="1" x14ac:dyDescent="0.35">
      <c r="A186" s="1" t="s">
        <v>331</v>
      </c>
      <c r="B186" s="4">
        <v>45667</v>
      </c>
      <c r="C186" s="1" t="s">
        <v>93</v>
      </c>
      <c r="D186" s="1" t="s">
        <v>94</v>
      </c>
      <c r="E186" s="1" t="s">
        <v>17</v>
      </c>
      <c r="F186" s="1" t="s">
        <v>18</v>
      </c>
      <c r="G186" s="1" t="s">
        <v>19</v>
      </c>
      <c r="H186" s="5">
        <v>5</v>
      </c>
      <c r="I186" s="5">
        <v>249.99</v>
      </c>
      <c r="J186" s="1" t="s">
        <v>26</v>
      </c>
      <c r="K186" s="1" t="s">
        <v>35</v>
      </c>
      <c r="L186" s="1" t="s">
        <v>22</v>
      </c>
      <c r="M186" s="4">
        <v>45330</v>
      </c>
      <c r="N186" s="5">
        <v>1249.95</v>
      </c>
      <c r="O186" s="1"/>
      <c r="P186" s="1"/>
      <c r="Q186" s="1"/>
      <c r="R186" s="1"/>
      <c r="S186" s="1"/>
      <c r="T186" s="1"/>
      <c r="U186" s="1"/>
      <c r="V186" s="1"/>
      <c r="W186" s="1"/>
      <c r="X186" s="1"/>
      <c r="Y186" s="1"/>
      <c r="Z186" s="1"/>
    </row>
    <row r="187" spans="1:26" ht="29.4" thickBot="1" x14ac:dyDescent="0.35">
      <c r="A187" s="1" t="s">
        <v>332</v>
      </c>
      <c r="B187" s="4">
        <v>45668</v>
      </c>
      <c r="C187" s="1" t="s">
        <v>138</v>
      </c>
      <c r="D187" s="1" t="s">
        <v>139</v>
      </c>
      <c r="E187" s="1" t="s">
        <v>52</v>
      </c>
      <c r="F187" s="1" t="s">
        <v>53</v>
      </c>
      <c r="G187" s="1" t="s">
        <v>19</v>
      </c>
      <c r="H187" s="5">
        <v>4</v>
      </c>
      <c r="I187" s="5">
        <v>149.99</v>
      </c>
      <c r="J187" s="1" t="s">
        <v>57</v>
      </c>
      <c r="K187" s="1" t="s">
        <v>63</v>
      </c>
      <c r="L187" s="1" t="s">
        <v>36</v>
      </c>
      <c r="M187" s="4">
        <v>44536</v>
      </c>
      <c r="N187" s="5">
        <v>599.96</v>
      </c>
      <c r="O187" s="1"/>
      <c r="P187" s="1"/>
      <c r="Q187" s="1"/>
      <c r="R187" s="1"/>
      <c r="S187" s="1"/>
      <c r="T187" s="1"/>
      <c r="U187" s="1"/>
      <c r="V187" s="1"/>
      <c r="W187" s="1"/>
      <c r="X187" s="1"/>
      <c r="Y187" s="1"/>
      <c r="Z187" s="1"/>
    </row>
    <row r="188" spans="1:26" ht="29.4" thickBot="1" x14ac:dyDescent="0.35">
      <c r="A188" s="1" t="s">
        <v>333</v>
      </c>
      <c r="B188" s="4">
        <v>45668</v>
      </c>
      <c r="C188" s="1" t="s">
        <v>78</v>
      </c>
      <c r="D188" s="1" t="s">
        <v>79</v>
      </c>
      <c r="E188" s="1" t="s">
        <v>80</v>
      </c>
      <c r="F188" s="1" t="s">
        <v>81</v>
      </c>
      <c r="G188" s="1" t="s">
        <v>19</v>
      </c>
      <c r="H188" s="5">
        <v>3</v>
      </c>
      <c r="I188" s="5">
        <v>699.99</v>
      </c>
      <c r="J188" s="1" t="s">
        <v>20</v>
      </c>
      <c r="K188" s="1" t="s">
        <v>40</v>
      </c>
      <c r="L188" s="1" t="s">
        <v>27</v>
      </c>
      <c r="M188" s="4">
        <v>44602</v>
      </c>
      <c r="N188" s="5">
        <v>2099.9699999999998</v>
      </c>
      <c r="O188" s="1"/>
      <c r="P188" s="1"/>
      <c r="Q188" s="1"/>
      <c r="R188" s="1"/>
      <c r="S188" s="1"/>
      <c r="T188" s="1"/>
      <c r="U188" s="1"/>
      <c r="V188" s="1"/>
      <c r="W188" s="1"/>
      <c r="X188" s="1"/>
      <c r="Y188" s="1"/>
      <c r="Z188" s="1"/>
    </row>
    <row r="189" spans="1:26" ht="29.4" thickBot="1" x14ac:dyDescent="0.35">
      <c r="A189" s="1" t="s">
        <v>334</v>
      </c>
      <c r="B189" s="4">
        <v>45670</v>
      </c>
      <c r="C189" s="1" t="s">
        <v>293</v>
      </c>
      <c r="D189" s="1" t="s">
        <v>294</v>
      </c>
      <c r="E189" s="1" t="s">
        <v>114</v>
      </c>
      <c r="F189" s="1" t="s">
        <v>115</v>
      </c>
      <c r="G189" s="1" t="s">
        <v>33</v>
      </c>
      <c r="H189" s="5">
        <v>1</v>
      </c>
      <c r="I189" s="5">
        <v>79.989999999999995</v>
      </c>
      <c r="J189" s="1" t="s">
        <v>26</v>
      </c>
      <c r="K189" s="1" t="s">
        <v>35</v>
      </c>
      <c r="L189" s="1" t="s">
        <v>22</v>
      </c>
      <c r="M189" s="4">
        <v>45322</v>
      </c>
      <c r="N189" s="5">
        <v>79.989999999999995</v>
      </c>
      <c r="O189" s="1"/>
      <c r="P189" s="1"/>
      <c r="Q189" s="1"/>
      <c r="R189" s="1"/>
      <c r="S189" s="1"/>
      <c r="T189" s="1"/>
      <c r="U189" s="1"/>
      <c r="V189" s="1"/>
      <c r="W189" s="1"/>
      <c r="X189" s="1"/>
      <c r="Y189" s="1"/>
      <c r="Z189" s="1"/>
    </row>
    <row r="190" spans="1:26" ht="29.4" thickBot="1" x14ac:dyDescent="0.35">
      <c r="A190" s="1" t="s">
        <v>335</v>
      </c>
      <c r="B190" s="4">
        <v>45670</v>
      </c>
      <c r="C190" s="1" t="s">
        <v>86</v>
      </c>
      <c r="D190" s="1" t="s">
        <v>87</v>
      </c>
      <c r="E190" s="1" t="s">
        <v>105</v>
      </c>
      <c r="F190" s="1" t="s">
        <v>106</v>
      </c>
      <c r="G190" s="1" t="s">
        <v>46</v>
      </c>
      <c r="H190" s="5">
        <v>1</v>
      </c>
      <c r="I190" s="5">
        <v>299.99</v>
      </c>
      <c r="J190" s="1" t="s">
        <v>26</v>
      </c>
      <c r="K190" s="1" t="s">
        <v>40</v>
      </c>
      <c r="L190" s="1" t="s">
        <v>22</v>
      </c>
      <c r="M190" s="4">
        <v>44436</v>
      </c>
      <c r="N190" s="5">
        <v>299.99</v>
      </c>
      <c r="O190" s="1"/>
      <c r="P190" s="1"/>
      <c r="Q190" s="1"/>
      <c r="R190" s="1"/>
      <c r="S190" s="1"/>
      <c r="T190" s="1"/>
      <c r="U190" s="1"/>
      <c r="V190" s="1"/>
      <c r="W190" s="1"/>
      <c r="X190" s="1"/>
      <c r="Y190" s="1"/>
      <c r="Z190" s="1"/>
    </row>
    <row r="191" spans="1:26" ht="29.4" thickBot="1" x14ac:dyDescent="0.35">
      <c r="A191" s="1" t="s">
        <v>336</v>
      </c>
      <c r="B191" s="4">
        <v>45671</v>
      </c>
      <c r="C191" s="1" t="s">
        <v>158</v>
      </c>
      <c r="D191" s="1" t="s">
        <v>159</v>
      </c>
      <c r="E191" s="1" t="s">
        <v>17</v>
      </c>
      <c r="F191" s="1" t="s">
        <v>18</v>
      </c>
      <c r="G191" s="1" t="s">
        <v>19</v>
      </c>
      <c r="H191" s="5">
        <v>4</v>
      </c>
      <c r="I191" s="5">
        <v>249.99</v>
      </c>
      <c r="J191" s="1" t="s">
        <v>26</v>
      </c>
      <c r="K191" s="1" t="s">
        <v>40</v>
      </c>
      <c r="L191" s="1" t="s">
        <v>27</v>
      </c>
      <c r="M191" s="4">
        <v>44460</v>
      </c>
      <c r="N191" s="5">
        <v>999.96</v>
      </c>
      <c r="O191" s="1"/>
      <c r="P191" s="1"/>
      <c r="Q191" s="1"/>
      <c r="R191" s="1"/>
      <c r="S191" s="1"/>
      <c r="T191" s="1"/>
      <c r="U191" s="1"/>
      <c r="V191" s="1"/>
      <c r="W191" s="1"/>
      <c r="X191" s="1"/>
      <c r="Y191" s="1"/>
      <c r="Z191" s="1"/>
    </row>
    <row r="192" spans="1:26" ht="29.4" thickBot="1" x14ac:dyDescent="0.35">
      <c r="A192" s="1" t="s">
        <v>337</v>
      </c>
      <c r="B192" s="4">
        <v>45671</v>
      </c>
      <c r="C192" s="1" t="s">
        <v>120</v>
      </c>
      <c r="D192" s="1" t="s">
        <v>121</v>
      </c>
      <c r="E192" s="1" t="s">
        <v>52</v>
      </c>
      <c r="F192" s="1" t="s">
        <v>53</v>
      </c>
      <c r="G192" s="1" t="s">
        <v>19</v>
      </c>
      <c r="H192" s="5">
        <v>2</v>
      </c>
      <c r="I192" s="5">
        <v>149.99</v>
      </c>
      <c r="J192" s="1" t="s">
        <v>20</v>
      </c>
      <c r="K192" s="1" t="s">
        <v>40</v>
      </c>
      <c r="L192" s="1" t="s">
        <v>36</v>
      </c>
      <c r="M192" s="4">
        <v>44913</v>
      </c>
      <c r="N192" s="5">
        <v>299.98</v>
      </c>
      <c r="O192" s="1"/>
      <c r="P192" s="1"/>
      <c r="Q192" s="1"/>
      <c r="R192" s="1"/>
      <c r="S192" s="1"/>
      <c r="T192" s="1"/>
      <c r="U192" s="1"/>
      <c r="V192" s="1"/>
      <c r="W192" s="1"/>
      <c r="X192" s="1"/>
      <c r="Y192" s="1"/>
      <c r="Z192" s="1"/>
    </row>
    <row r="193" spans="1:26" ht="29.4" thickBot="1" x14ac:dyDescent="0.35">
      <c r="A193" s="1" t="s">
        <v>338</v>
      </c>
      <c r="B193" s="4">
        <v>45671</v>
      </c>
      <c r="C193" s="1" t="s">
        <v>234</v>
      </c>
      <c r="D193" s="1" t="s">
        <v>235</v>
      </c>
      <c r="E193" s="1" t="s">
        <v>105</v>
      </c>
      <c r="F193" s="1" t="s">
        <v>106</v>
      </c>
      <c r="G193" s="1" t="s">
        <v>46</v>
      </c>
      <c r="H193" s="5">
        <v>3</v>
      </c>
      <c r="I193" s="5">
        <v>299.99</v>
      </c>
      <c r="J193" s="1" t="s">
        <v>26</v>
      </c>
      <c r="K193" s="1" t="s">
        <v>35</v>
      </c>
      <c r="L193" s="1" t="s">
        <v>22</v>
      </c>
      <c r="M193" s="4">
        <v>45204</v>
      </c>
      <c r="N193" s="5">
        <v>899.97</v>
      </c>
      <c r="O193" s="1"/>
      <c r="P193" s="1"/>
      <c r="Q193" s="1"/>
      <c r="R193" s="1"/>
      <c r="S193" s="1"/>
      <c r="T193" s="1"/>
      <c r="U193" s="1"/>
      <c r="V193" s="1"/>
      <c r="W193" s="1"/>
      <c r="X193" s="1"/>
      <c r="Y193" s="1"/>
      <c r="Z193" s="1"/>
    </row>
    <row r="194" spans="1:26" ht="29.4" thickBot="1" x14ac:dyDescent="0.35">
      <c r="A194" s="1" t="s">
        <v>339</v>
      </c>
      <c r="B194" s="4">
        <v>45673</v>
      </c>
      <c r="C194" s="1" t="s">
        <v>226</v>
      </c>
      <c r="D194" s="1" t="s">
        <v>227</v>
      </c>
      <c r="E194" s="1" t="s">
        <v>126</v>
      </c>
      <c r="F194" s="1" t="s">
        <v>127</v>
      </c>
      <c r="G194" s="1" t="s">
        <v>46</v>
      </c>
      <c r="H194" s="5">
        <v>4</v>
      </c>
      <c r="I194" s="5">
        <v>199.99</v>
      </c>
      <c r="J194" s="1" t="s">
        <v>57</v>
      </c>
      <c r="K194" s="1" t="s">
        <v>35</v>
      </c>
      <c r="L194" s="1" t="s">
        <v>36</v>
      </c>
      <c r="M194" s="4">
        <v>44544</v>
      </c>
      <c r="N194" s="5">
        <v>799.96</v>
      </c>
      <c r="O194" s="1"/>
      <c r="P194" s="1"/>
      <c r="Q194" s="1"/>
      <c r="R194" s="1"/>
      <c r="S194" s="1"/>
      <c r="T194" s="1"/>
      <c r="U194" s="1"/>
      <c r="V194" s="1"/>
      <c r="W194" s="1"/>
      <c r="X194" s="1"/>
      <c r="Y194" s="1"/>
      <c r="Z194" s="1"/>
    </row>
    <row r="195" spans="1:26" ht="29.4" thickBot="1" x14ac:dyDescent="0.35">
      <c r="A195" s="1" t="s">
        <v>340</v>
      </c>
      <c r="B195" s="4">
        <v>45673</v>
      </c>
      <c r="C195" s="1" t="s">
        <v>211</v>
      </c>
      <c r="D195" s="1" t="s">
        <v>212</v>
      </c>
      <c r="E195" s="1" t="s">
        <v>105</v>
      </c>
      <c r="F195" s="1" t="s">
        <v>106</v>
      </c>
      <c r="G195" s="1" t="s">
        <v>46</v>
      </c>
      <c r="H195" s="5">
        <v>5</v>
      </c>
      <c r="I195" s="5">
        <v>299.99</v>
      </c>
      <c r="J195" s="1" t="s">
        <v>57</v>
      </c>
      <c r="K195" s="1" t="s">
        <v>21</v>
      </c>
      <c r="L195" s="1" t="s">
        <v>22</v>
      </c>
      <c r="M195" s="4">
        <v>44431</v>
      </c>
      <c r="N195" s="5">
        <v>1499.95</v>
      </c>
      <c r="O195" s="1"/>
      <c r="P195" s="1"/>
      <c r="Q195" s="1"/>
      <c r="R195" s="1"/>
      <c r="S195" s="1"/>
      <c r="T195" s="1"/>
      <c r="U195" s="1"/>
      <c r="V195" s="1"/>
      <c r="W195" s="1"/>
      <c r="X195" s="1"/>
      <c r="Y195" s="1"/>
      <c r="Z195" s="1"/>
    </row>
    <row r="196" spans="1:26" ht="29.4" thickBot="1" x14ac:dyDescent="0.35">
      <c r="A196" s="1" t="s">
        <v>341</v>
      </c>
      <c r="B196" s="4">
        <v>45673</v>
      </c>
      <c r="C196" s="1" t="s">
        <v>59</v>
      </c>
      <c r="D196" s="1" t="s">
        <v>60</v>
      </c>
      <c r="E196" s="1" t="s">
        <v>44</v>
      </c>
      <c r="F196" s="1" t="s">
        <v>45</v>
      </c>
      <c r="G196" s="1" t="s">
        <v>46</v>
      </c>
      <c r="H196" s="5">
        <v>3</v>
      </c>
      <c r="I196" s="5">
        <v>149.99</v>
      </c>
      <c r="J196" s="1" t="s">
        <v>26</v>
      </c>
      <c r="K196" s="1" t="s">
        <v>63</v>
      </c>
      <c r="L196" s="1" t="s">
        <v>36</v>
      </c>
      <c r="M196" s="4">
        <v>44395</v>
      </c>
      <c r="N196" s="5">
        <v>449.97</v>
      </c>
      <c r="O196" s="1"/>
      <c r="P196" s="1"/>
      <c r="Q196" s="1"/>
      <c r="R196" s="1"/>
      <c r="S196" s="1"/>
      <c r="T196" s="1"/>
      <c r="U196" s="1"/>
      <c r="V196" s="1"/>
      <c r="W196" s="1"/>
      <c r="X196" s="1"/>
      <c r="Y196" s="1"/>
      <c r="Z196" s="1"/>
    </row>
    <row r="197" spans="1:26" ht="29.4" thickBot="1" x14ac:dyDescent="0.35">
      <c r="A197" s="1" t="s">
        <v>342</v>
      </c>
      <c r="B197" s="4">
        <v>45676</v>
      </c>
      <c r="C197" s="1" t="s">
        <v>129</v>
      </c>
      <c r="D197" s="1" t="s">
        <v>130</v>
      </c>
      <c r="E197" s="1" t="s">
        <v>31</v>
      </c>
      <c r="F197" s="1" t="s">
        <v>32</v>
      </c>
      <c r="G197" s="1" t="s">
        <v>33</v>
      </c>
      <c r="H197" s="5">
        <v>5</v>
      </c>
      <c r="I197" s="5">
        <v>59.99</v>
      </c>
      <c r="J197" s="1" t="s">
        <v>57</v>
      </c>
      <c r="K197" s="1" t="s">
        <v>63</v>
      </c>
      <c r="L197" s="1" t="s">
        <v>22</v>
      </c>
      <c r="M197" s="4">
        <v>44642</v>
      </c>
      <c r="N197" s="5">
        <v>299.95</v>
      </c>
      <c r="O197" s="1"/>
      <c r="P197" s="1"/>
      <c r="Q197" s="1"/>
      <c r="R197" s="1"/>
      <c r="S197" s="1"/>
      <c r="T197" s="1"/>
      <c r="U197" s="1"/>
      <c r="V197" s="1"/>
      <c r="W197" s="1"/>
      <c r="X197" s="1"/>
      <c r="Y197" s="1"/>
      <c r="Z197" s="1"/>
    </row>
    <row r="198" spans="1:26" ht="29.4" thickBot="1" x14ac:dyDescent="0.35">
      <c r="A198" s="1" t="s">
        <v>343</v>
      </c>
      <c r="B198" s="4">
        <v>45682</v>
      </c>
      <c r="C198" s="1" t="s">
        <v>68</v>
      </c>
      <c r="D198" s="1" t="s">
        <v>69</v>
      </c>
      <c r="E198" s="1" t="s">
        <v>31</v>
      </c>
      <c r="F198" s="1" t="s">
        <v>32</v>
      </c>
      <c r="G198" s="1" t="s">
        <v>33</v>
      </c>
      <c r="H198" s="5">
        <v>4</v>
      </c>
      <c r="I198" s="5">
        <v>59.99</v>
      </c>
      <c r="J198" s="1" t="s">
        <v>57</v>
      </c>
      <c r="K198" s="1" t="s">
        <v>63</v>
      </c>
      <c r="L198" s="1" t="s">
        <v>36</v>
      </c>
      <c r="M198" s="4">
        <v>44564</v>
      </c>
      <c r="N198" s="5">
        <v>239.96</v>
      </c>
      <c r="O198" s="1"/>
      <c r="P198" s="1"/>
      <c r="Q198" s="1"/>
      <c r="R198" s="1"/>
      <c r="S198" s="1"/>
      <c r="T198" s="1"/>
      <c r="U198" s="1"/>
      <c r="V198" s="1"/>
      <c r="W198" s="1"/>
      <c r="X198" s="1"/>
      <c r="Y198" s="1"/>
      <c r="Z198" s="1"/>
    </row>
    <row r="199" spans="1:26" ht="29.4" thickBot="1" x14ac:dyDescent="0.35">
      <c r="A199" s="1" t="s">
        <v>344</v>
      </c>
      <c r="B199" s="4">
        <v>45683</v>
      </c>
      <c r="C199" s="1" t="s">
        <v>48</v>
      </c>
      <c r="D199" s="1" t="s">
        <v>49</v>
      </c>
      <c r="E199" s="1" t="s">
        <v>17</v>
      </c>
      <c r="F199" s="1" t="s">
        <v>18</v>
      </c>
      <c r="G199" s="1" t="s">
        <v>19</v>
      </c>
      <c r="H199" s="5">
        <v>4</v>
      </c>
      <c r="I199" s="5">
        <v>249.99</v>
      </c>
      <c r="J199" s="1" t="s">
        <v>57</v>
      </c>
      <c r="K199" s="1" t="s">
        <v>21</v>
      </c>
      <c r="L199" s="1" t="s">
        <v>27</v>
      </c>
      <c r="M199" s="4">
        <v>45217</v>
      </c>
      <c r="N199" s="5">
        <v>999.96</v>
      </c>
      <c r="O199" s="1"/>
      <c r="P199" s="1"/>
      <c r="Q199" s="1"/>
      <c r="R199" s="1"/>
      <c r="S199" s="1"/>
      <c r="T199" s="1"/>
      <c r="U199" s="1"/>
      <c r="V199" s="1"/>
      <c r="W199" s="1"/>
      <c r="X199" s="1"/>
      <c r="Y199" s="1"/>
      <c r="Z199" s="1"/>
    </row>
    <row r="200" spans="1:26" ht="29.4" thickBot="1" x14ac:dyDescent="0.35">
      <c r="A200" s="1" t="s">
        <v>345</v>
      </c>
      <c r="B200" s="4">
        <v>45686</v>
      </c>
      <c r="C200" s="1" t="s">
        <v>252</v>
      </c>
      <c r="D200" s="1" t="s">
        <v>253</v>
      </c>
      <c r="E200" s="1" t="s">
        <v>61</v>
      </c>
      <c r="F200" s="1" t="s">
        <v>62</v>
      </c>
      <c r="G200" s="1" t="s">
        <v>19</v>
      </c>
      <c r="H200" s="5">
        <v>4</v>
      </c>
      <c r="I200" s="5">
        <v>899.99</v>
      </c>
      <c r="J200" s="1" t="s">
        <v>34</v>
      </c>
      <c r="K200" s="1" t="s">
        <v>21</v>
      </c>
      <c r="L200" s="1" t="s">
        <v>22</v>
      </c>
      <c r="M200" s="4">
        <v>44734</v>
      </c>
      <c r="N200" s="5">
        <v>3599.96</v>
      </c>
      <c r="O200" s="1"/>
      <c r="P200" s="1"/>
      <c r="Q200" s="1"/>
      <c r="R200" s="1"/>
      <c r="S200" s="1"/>
      <c r="T200" s="1"/>
      <c r="U200" s="1"/>
      <c r="V200" s="1"/>
      <c r="W200" s="1"/>
      <c r="X200" s="1"/>
      <c r="Y200" s="1"/>
      <c r="Z200" s="1"/>
    </row>
    <row r="201" spans="1:26" ht="29.4" thickBot="1" x14ac:dyDescent="0.35">
      <c r="A201" s="1" t="s">
        <v>346</v>
      </c>
      <c r="B201" s="4">
        <v>45686</v>
      </c>
      <c r="C201" s="1" t="s">
        <v>86</v>
      </c>
      <c r="D201" s="1" t="s">
        <v>87</v>
      </c>
      <c r="E201" s="1" t="s">
        <v>105</v>
      </c>
      <c r="F201" s="1" t="s">
        <v>106</v>
      </c>
      <c r="G201" s="1" t="s">
        <v>46</v>
      </c>
      <c r="H201" s="5">
        <v>3</v>
      </c>
      <c r="I201" s="5">
        <v>299.99</v>
      </c>
      <c r="J201" s="1" t="s">
        <v>57</v>
      </c>
      <c r="K201" s="1" t="s">
        <v>50</v>
      </c>
      <c r="L201" s="1" t="s">
        <v>36</v>
      </c>
      <c r="M201" s="4">
        <v>44952</v>
      </c>
      <c r="N201" s="5">
        <v>899.97</v>
      </c>
      <c r="O201" s="1"/>
      <c r="P201" s="1"/>
      <c r="Q201" s="1"/>
      <c r="R201" s="1"/>
      <c r="S201" s="1"/>
      <c r="T201" s="1"/>
      <c r="U201" s="1"/>
      <c r="V201" s="1"/>
      <c r="W201" s="1"/>
      <c r="X201" s="1"/>
      <c r="Y201" s="1"/>
      <c r="Z201" s="1"/>
    </row>
    <row r="202" spans="1:26" ht="29.4" thickBot="1" x14ac:dyDescent="0.35">
      <c r="A202" s="1" t="s">
        <v>347</v>
      </c>
      <c r="B202" s="4">
        <v>45686</v>
      </c>
      <c r="C202" s="1" t="s">
        <v>293</v>
      </c>
      <c r="D202" s="1" t="s">
        <v>294</v>
      </c>
      <c r="E202" s="1" t="s">
        <v>80</v>
      </c>
      <c r="F202" s="1" t="s">
        <v>81</v>
      </c>
      <c r="G202" s="1" t="s">
        <v>19</v>
      </c>
      <c r="H202" s="5">
        <v>2</v>
      </c>
      <c r="I202" s="5">
        <v>699.99</v>
      </c>
      <c r="J202" s="1" t="s">
        <v>57</v>
      </c>
      <c r="K202" s="1" t="s">
        <v>21</v>
      </c>
      <c r="L202" s="1" t="s">
        <v>27</v>
      </c>
      <c r="M202" s="4">
        <v>44681</v>
      </c>
      <c r="N202" s="5">
        <v>1399.98</v>
      </c>
      <c r="O202" s="1"/>
      <c r="P202" s="1"/>
      <c r="Q202" s="1"/>
      <c r="R202" s="1"/>
      <c r="S202" s="1"/>
      <c r="T202" s="1"/>
      <c r="U202" s="1"/>
      <c r="V202" s="1"/>
      <c r="W202" s="1"/>
      <c r="X202" s="1"/>
      <c r="Y202" s="1"/>
      <c r="Z202" s="1"/>
    </row>
    <row r="203" spans="1:26" ht="29.4" thickBot="1" x14ac:dyDescent="0.35">
      <c r="A203" s="1" t="s">
        <v>348</v>
      </c>
      <c r="B203" s="4">
        <v>45688</v>
      </c>
      <c r="C203" s="1" t="s">
        <v>65</v>
      </c>
      <c r="D203" s="1" t="s">
        <v>66</v>
      </c>
      <c r="E203" s="1" t="s">
        <v>80</v>
      </c>
      <c r="F203" s="1" t="s">
        <v>81</v>
      </c>
      <c r="G203" s="1" t="s">
        <v>19</v>
      </c>
      <c r="H203" s="5">
        <v>4</v>
      </c>
      <c r="I203" s="5">
        <v>699.99</v>
      </c>
      <c r="J203" s="1" t="s">
        <v>57</v>
      </c>
      <c r="K203" s="1" t="s">
        <v>50</v>
      </c>
      <c r="L203" s="1" t="s">
        <v>27</v>
      </c>
      <c r="M203" s="4">
        <v>44692</v>
      </c>
      <c r="N203" s="5">
        <v>2799.96</v>
      </c>
      <c r="O203" s="1"/>
      <c r="P203" s="1"/>
      <c r="Q203" s="1"/>
      <c r="R203" s="1"/>
      <c r="S203" s="1"/>
      <c r="T203" s="1"/>
      <c r="U203" s="1"/>
      <c r="V203" s="1"/>
      <c r="W203" s="1"/>
      <c r="X203" s="1"/>
      <c r="Y203" s="1"/>
      <c r="Z203" s="1"/>
    </row>
    <row r="204" spans="1:26" ht="29.4" thickBot="1" x14ac:dyDescent="0.35">
      <c r="A204" s="1" t="s">
        <v>349</v>
      </c>
      <c r="B204" s="4">
        <v>45688</v>
      </c>
      <c r="C204" s="1" t="s">
        <v>123</v>
      </c>
      <c r="D204" s="1" t="s">
        <v>124</v>
      </c>
      <c r="E204" s="1" t="s">
        <v>117</v>
      </c>
      <c r="F204" s="1" t="s">
        <v>118</v>
      </c>
      <c r="G204" s="1" t="s">
        <v>19</v>
      </c>
      <c r="H204" s="5">
        <v>2</v>
      </c>
      <c r="I204" s="5">
        <v>89.99</v>
      </c>
      <c r="J204" s="1" t="s">
        <v>57</v>
      </c>
      <c r="K204" s="1" t="s">
        <v>35</v>
      </c>
      <c r="L204" s="1" t="s">
        <v>22</v>
      </c>
      <c r="M204" s="4">
        <v>44777</v>
      </c>
      <c r="N204" s="5">
        <v>179.98</v>
      </c>
      <c r="O204" s="1"/>
      <c r="P204" s="1"/>
      <c r="Q204" s="1"/>
      <c r="R204" s="1"/>
      <c r="S204" s="1"/>
      <c r="T204" s="1"/>
      <c r="U204" s="1"/>
      <c r="V204" s="1"/>
      <c r="W204" s="1"/>
      <c r="X204" s="1"/>
      <c r="Y204" s="1"/>
      <c r="Z204" s="1"/>
    </row>
    <row r="205" spans="1:26" ht="29.4" thickBot="1" x14ac:dyDescent="0.35">
      <c r="A205" s="1" t="s">
        <v>350</v>
      </c>
      <c r="B205" s="4">
        <v>45688</v>
      </c>
      <c r="C205" s="1" t="s">
        <v>42</v>
      </c>
      <c r="D205" s="1" t="s">
        <v>43</v>
      </c>
      <c r="E205" s="1" t="s">
        <v>117</v>
      </c>
      <c r="F205" s="1" t="s">
        <v>118</v>
      </c>
      <c r="G205" s="1" t="s">
        <v>19</v>
      </c>
      <c r="H205" s="5">
        <v>3</v>
      </c>
      <c r="I205" s="5">
        <v>89.99</v>
      </c>
      <c r="J205" s="1" t="s">
        <v>57</v>
      </c>
      <c r="K205" s="1" t="s">
        <v>35</v>
      </c>
      <c r="L205" s="1" t="s">
        <v>27</v>
      </c>
      <c r="M205" s="4">
        <v>45307</v>
      </c>
      <c r="N205" s="5">
        <v>269.97000000000003</v>
      </c>
      <c r="O205" s="1"/>
      <c r="P205" s="1"/>
      <c r="Q205" s="1"/>
      <c r="R205" s="1"/>
      <c r="S205" s="1"/>
      <c r="T205" s="1"/>
      <c r="U205" s="1"/>
      <c r="V205" s="1"/>
      <c r="W205" s="1"/>
      <c r="X205" s="1"/>
      <c r="Y205" s="1"/>
      <c r="Z205" s="1"/>
    </row>
    <row r="206" spans="1:26" ht="29.4" thickBot="1" x14ac:dyDescent="0.35">
      <c r="A206" s="1" t="s">
        <v>351</v>
      </c>
      <c r="B206" s="4">
        <v>45692</v>
      </c>
      <c r="C206" s="1" t="s">
        <v>325</v>
      </c>
      <c r="D206" s="1" t="s">
        <v>326</v>
      </c>
      <c r="E206" s="1" t="s">
        <v>31</v>
      </c>
      <c r="F206" s="1" t="s">
        <v>32</v>
      </c>
      <c r="G206" s="1" t="s">
        <v>33</v>
      </c>
      <c r="H206" s="5">
        <v>1</v>
      </c>
      <c r="I206" s="5">
        <v>59.99</v>
      </c>
      <c r="J206" s="1" t="s">
        <v>57</v>
      </c>
      <c r="K206" s="1" t="s">
        <v>21</v>
      </c>
      <c r="L206" s="1" t="s">
        <v>36</v>
      </c>
      <c r="M206" s="4">
        <v>45045</v>
      </c>
      <c r="N206" s="5">
        <v>59.99</v>
      </c>
      <c r="O206" s="1"/>
      <c r="P206" s="1"/>
      <c r="Q206" s="1"/>
      <c r="R206" s="1"/>
      <c r="S206" s="1"/>
      <c r="T206" s="1"/>
      <c r="U206" s="1"/>
      <c r="V206" s="1"/>
      <c r="W206" s="1"/>
      <c r="X206" s="1"/>
      <c r="Y206" s="1"/>
      <c r="Z206" s="1"/>
    </row>
    <row r="207" spans="1:26" ht="29.4" thickBot="1" x14ac:dyDescent="0.35">
      <c r="A207" s="1" t="s">
        <v>352</v>
      </c>
      <c r="B207" s="4">
        <v>45695</v>
      </c>
      <c r="C207" s="1" t="s">
        <v>246</v>
      </c>
      <c r="D207" s="1" t="s">
        <v>247</v>
      </c>
      <c r="E207" s="1" t="s">
        <v>44</v>
      </c>
      <c r="F207" s="1" t="s">
        <v>45</v>
      </c>
      <c r="G207" s="1" t="s">
        <v>46</v>
      </c>
      <c r="H207" s="5">
        <v>3</v>
      </c>
      <c r="I207" s="5">
        <v>149.99</v>
      </c>
      <c r="J207" s="1" t="s">
        <v>57</v>
      </c>
      <c r="K207" s="1" t="s">
        <v>40</v>
      </c>
      <c r="L207" s="1" t="s">
        <v>27</v>
      </c>
      <c r="M207" s="4">
        <v>44564</v>
      </c>
      <c r="N207" s="5">
        <v>449.97</v>
      </c>
      <c r="O207" s="1"/>
      <c r="P207" s="1"/>
      <c r="Q207" s="1"/>
      <c r="R207" s="1"/>
      <c r="S207" s="1"/>
      <c r="T207" s="1"/>
      <c r="U207" s="1"/>
      <c r="V207" s="1"/>
      <c r="W207" s="1"/>
      <c r="X207" s="1"/>
      <c r="Y207" s="1"/>
      <c r="Z207" s="1"/>
    </row>
    <row r="208" spans="1:26" ht="29.4" thickBot="1" x14ac:dyDescent="0.35">
      <c r="A208" s="1" t="s">
        <v>353</v>
      </c>
      <c r="B208" s="4">
        <v>45695</v>
      </c>
      <c r="C208" s="1" t="s">
        <v>93</v>
      </c>
      <c r="D208" s="1" t="s">
        <v>94</v>
      </c>
      <c r="E208" s="1" t="s">
        <v>105</v>
      </c>
      <c r="F208" s="1" t="s">
        <v>106</v>
      </c>
      <c r="G208" s="1" t="s">
        <v>46</v>
      </c>
      <c r="H208" s="5">
        <v>5</v>
      </c>
      <c r="I208" s="5">
        <v>299.99</v>
      </c>
      <c r="J208" s="1" t="s">
        <v>26</v>
      </c>
      <c r="K208" s="1" t="s">
        <v>35</v>
      </c>
      <c r="L208" s="1" t="s">
        <v>22</v>
      </c>
      <c r="M208" s="4">
        <v>44959</v>
      </c>
      <c r="N208" s="5">
        <v>1499.95</v>
      </c>
      <c r="O208" s="1"/>
      <c r="P208" s="1"/>
      <c r="Q208" s="1"/>
      <c r="R208" s="1"/>
      <c r="S208" s="1"/>
      <c r="T208" s="1"/>
      <c r="U208" s="1"/>
      <c r="V208" s="1"/>
      <c r="W208" s="1"/>
      <c r="X208" s="1"/>
      <c r="Y208" s="1"/>
      <c r="Z208" s="1"/>
    </row>
    <row r="209" spans="1:26" ht="29.4" thickBot="1" x14ac:dyDescent="0.35">
      <c r="A209" s="1" t="s">
        <v>354</v>
      </c>
      <c r="B209" s="4">
        <v>45696</v>
      </c>
      <c r="C209" s="1" t="s">
        <v>150</v>
      </c>
      <c r="D209" s="1" t="s">
        <v>151</v>
      </c>
      <c r="E209" s="1" t="s">
        <v>31</v>
      </c>
      <c r="F209" s="1" t="s">
        <v>32</v>
      </c>
      <c r="G209" s="1" t="s">
        <v>33</v>
      </c>
      <c r="H209" s="5">
        <v>5</v>
      </c>
      <c r="I209" s="5">
        <v>59.99</v>
      </c>
      <c r="J209" s="1" t="s">
        <v>57</v>
      </c>
      <c r="K209" s="1" t="s">
        <v>21</v>
      </c>
      <c r="L209" s="1" t="s">
        <v>36</v>
      </c>
      <c r="M209" s="4">
        <v>45177</v>
      </c>
      <c r="N209" s="5">
        <v>299.95</v>
      </c>
      <c r="O209" s="1"/>
      <c r="P209" s="1"/>
      <c r="Q209" s="1"/>
      <c r="R209" s="1"/>
      <c r="S209" s="1"/>
      <c r="T209" s="1"/>
      <c r="U209" s="1"/>
      <c r="V209" s="1"/>
      <c r="W209" s="1"/>
      <c r="X209" s="1"/>
      <c r="Y209" s="1"/>
      <c r="Z209" s="1"/>
    </row>
    <row r="210" spans="1:26" ht="29.4" thickBot="1" x14ac:dyDescent="0.35">
      <c r="A210" s="1" t="s">
        <v>355</v>
      </c>
      <c r="B210" s="4">
        <v>45701</v>
      </c>
      <c r="C210" s="1" t="s">
        <v>108</v>
      </c>
      <c r="D210" s="1" t="s">
        <v>109</v>
      </c>
      <c r="E210" s="1" t="s">
        <v>114</v>
      </c>
      <c r="F210" s="1" t="s">
        <v>115</v>
      </c>
      <c r="G210" s="1" t="s">
        <v>33</v>
      </c>
      <c r="H210" s="5">
        <v>3</v>
      </c>
      <c r="I210" s="5">
        <v>79.989999999999995</v>
      </c>
      <c r="J210" s="1" t="s">
        <v>20</v>
      </c>
      <c r="K210" s="1" t="s">
        <v>63</v>
      </c>
      <c r="L210" s="1" t="s">
        <v>27</v>
      </c>
      <c r="M210" s="4">
        <v>44436</v>
      </c>
      <c r="N210" s="5">
        <v>239.97</v>
      </c>
      <c r="O210" s="1"/>
      <c r="P210" s="1"/>
      <c r="Q210" s="1"/>
      <c r="R210" s="1"/>
      <c r="S210" s="1"/>
      <c r="T210" s="1"/>
      <c r="U210" s="1"/>
      <c r="V210" s="1"/>
      <c r="W210" s="1"/>
      <c r="X210" s="1"/>
      <c r="Y210" s="1"/>
      <c r="Z210" s="1"/>
    </row>
    <row r="211" spans="1:26" ht="29.4" thickBot="1" x14ac:dyDescent="0.35">
      <c r="A211" s="1" t="s">
        <v>356</v>
      </c>
      <c r="B211" s="4">
        <v>45704</v>
      </c>
      <c r="C211" s="1" t="s">
        <v>29</v>
      </c>
      <c r="D211" s="1" t="s">
        <v>30</v>
      </c>
      <c r="E211" s="1" t="s">
        <v>126</v>
      </c>
      <c r="F211" s="1" t="s">
        <v>127</v>
      </c>
      <c r="G211" s="1" t="s">
        <v>46</v>
      </c>
      <c r="H211" s="5">
        <v>3</v>
      </c>
      <c r="I211" s="5">
        <v>199.99</v>
      </c>
      <c r="J211" s="1" t="s">
        <v>20</v>
      </c>
      <c r="K211" s="1" t="s">
        <v>21</v>
      </c>
      <c r="L211" s="1" t="s">
        <v>22</v>
      </c>
      <c r="M211" s="4">
        <v>44735</v>
      </c>
      <c r="N211" s="5">
        <v>599.97</v>
      </c>
      <c r="O211" s="1"/>
      <c r="P211" s="1"/>
      <c r="Q211" s="1"/>
      <c r="R211" s="1"/>
      <c r="S211" s="1"/>
      <c r="T211" s="1"/>
      <c r="U211" s="1"/>
      <c r="V211" s="1"/>
      <c r="W211" s="1"/>
      <c r="X211" s="1"/>
      <c r="Y211" s="1"/>
      <c r="Z211" s="1"/>
    </row>
    <row r="212" spans="1:26" ht="29.4" thickBot="1" x14ac:dyDescent="0.35">
      <c r="A212" s="1" t="s">
        <v>357</v>
      </c>
      <c r="B212" s="4">
        <v>45704</v>
      </c>
      <c r="C212" s="1" t="s">
        <v>15</v>
      </c>
      <c r="D212" s="1" t="s">
        <v>16</v>
      </c>
      <c r="E212" s="1" t="s">
        <v>117</v>
      </c>
      <c r="F212" s="1" t="s">
        <v>118</v>
      </c>
      <c r="G212" s="1" t="s">
        <v>19</v>
      </c>
      <c r="H212" s="5">
        <v>2</v>
      </c>
      <c r="I212" s="5">
        <v>89.99</v>
      </c>
      <c r="J212" s="1" t="s">
        <v>34</v>
      </c>
      <c r="K212" s="1" t="s">
        <v>21</v>
      </c>
      <c r="L212" s="1" t="s">
        <v>22</v>
      </c>
      <c r="M212" s="4">
        <v>45257</v>
      </c>
      <c r="N212" s="5">
        <v>179.98</v>
      </c>
      <c r="O212" s="1"/>
      <c r="P212" s="1"/>
      <c r="Q212" s="1"/>
      <c r="R212" s="1"/>
      <c r="S212" s="1"/>
      <c r="T212" s="1"/>
      <c r="U212" s="1"/>
      <c r="V212" s="1"/>
      <c r="W212" s="1"/>
      <c r="X212" s="1"/>
      <c r="Y212" s="1"/>
      <c r="Z212" s="1"/>
    </row>
    <row r="213" spans="1:26" ht="29.4" thickBot="1" x14ac:dyDescent="0.35">
      <c r="A213" s="1" t="s">
        <v>358</v>
      </c>
      <c r="B213" s="4">
        <v>45705</v>
      </c>
      <c r="C213" s="1" t="s">
        <v>259</v>
      </c>
      <c r="D213" s="1" t="s">
        <v>260</v>
      </c>
      <c r="E213" s="1" t="s">
        <v>44</v>
      </c>
      <c r="F213" s="1" t="s">
        <v>45</v>
      </c>
      <c r="G213" s="1" t="s">
        <v>46</v>
      </c>
      <c r="H213" s="5">
        <v>2</v>
      </c>
      <c r="I213" s="5">
        <v>149.99</v>
      </c>
      <c r="J213" s="1" t="s">
        <v>20</v>
      </c>
      <c r="K213" s="1" t="s">
        <v>35</v>
      </c>
      <c r="L213" s="1" t="s">
        <v>27</v>
      </c>
      <c r="M213" s="4">
        <v>44728</v>
      </c>
      <c r="N213" s="5">
        <v>299.98</v>
      </c>
      <c r="O213" s="1"/>
      <c r="P213" s="1"/>
      <c r="Q213" s="1"/>
      <c r="R213" s="1"/>
      <c r="S213" s="1"/>
      <c r="T213" s="1"/>
      <c r="U213" s="1"/>
      <c r="V213" s="1"/>
      <c r="W213" s="1"/>
      <c r="X213" s="1"/>
      <c r="Y213" s="1"/>
      <c r="Z213" s="1"/>
    </row>
    <row r="214" spans="1:26" ht="29.4" thickBot="1" x14ac:dyDescent="0.35">
      <c r="A214" s="1" t="s">
        <v>359</v>
      </c>
      <c r="B214" s="4">
        <v>45707</v>
      </c>
      <c r="C214" s="1" t="s">
        <v>123</v>
      </c>
      <c r="D214" s="1" t="s">
        <v>124</v>
      </c>
      <c r="E214" s="1" t="s">
        <v>80</v>
      </c>
      <c r="F214" s="1" t="s">
        <v>81</v>
      </c>
      <c r="G214" s="1" t="s">
        <v>19</v>
      </c>
      <c r="H214" s="5">
        <v>5</v>
      </c>
      <c r="I214" s="5">
        <v>699.99</v>
      </c>
      <c r="J214" s="1" t="s">
        <v>34</v>
      </c>
      <c r="K214" s="1" t="s">
        <v>35</v>
      </c>
      <c r="L214" s="1" t="s">
        <v>27</v>
      </c>
      <c r="M214" s="4">
        <v>45352</v>
      </c>
      <c r="N214" s="5">
        <v>3499.95</v>
      </c>
      <c r="O214" s="1"/>
      <c r="P214" s="1"/>
      <c r="Q214" s="1"/>
      <c r="R214" s="1"/>
      <c r="S214" s="1"/>
      <c r="T214" s="1"/>
      <c r="U214" s="1"/>
      <c r="V214" s="1"/>
      <c r="W214" s="1"/>
      <c r="X214" s="1"/>
      <c r="Y214" s="1"/>
      <c r="Z214" s="1"/>
    </row>
    <row r="215" spans="1:26" ht="29.4" thickBot="1" x14ac:dyDescent="0.35">
      <c r="A215" s="1" t="s">
        <v>360</v>
      </c>
      <c r="B215" s="4">
        <v>45707</v>
      </c>
      <c r="C215" s="1" t="s">
        <v>42</v>
      </c>
      <c r="D215" s="1" t="s">
        <v>43</v>
      </c>
      <c r="E215" s="1" t="s">
        <v>44</v>
      </c>
      <c r="F215" s="1" t="s">
        <v>45</v>
      </c>
      <c r="G215" s="1" t="s">
        <v>46</v>
      </c>
      <c r="H215" s="5">
        <v>3</v>
      </c>
      <c r="I215" s="5">
        <v>149.99</v>
      </c>
      <c r="J215" s="1" t="s">
        <v>34</v>
      </c>
      <c r="K215" s="1" t="s">
        <v>21</v>
      </c>
      <c r="L215" s="1" t="s">
        <v>36</v>
      </c>
      <c r="M215" s="4">
        <v>44633</v>
      </c>
      <c r="N215" s="5">
        <v>449.97</v>
      </c>
      <c r="O215" s="1"/>
      <c r="P215" s="1"/>
      <c r="Q215" s="1"/>
      <c r="R215" s="1"/>
      <c r="S215" s="1"/>
      <c r="T215" s="1"/>
      <c r="U215" s="1"/>
      <c r="V215" s="1"/>
      <c r="W215" s="1"/>
      <c r="X215" s="1"/>
      <c r="Y215" s="1"/>
      <c r="Z215" s="1"/>
    </row>
    <row r="216" spans="1:26" ht="29.4" thickBot="1" x14ac:dyDescent="0.35">
      <c r="A216" s="1" t="s">
        <v>361</v>
      </c>
      <c r="B216" s="4">
        <v>45708</v>
      </c>
      <c r="C216" s="1" t="s">
        <v>96</v>
      </c>
      <c r="D216" s="1" t="s">
        <v>97</v>
      </c>
      <c r="E216" s="1" t="s">
        <v>61</v>
      </c>
      <c r="F216" s="1" t="s">
        <v>62</v>
      </c>
      <c r="G216" s="1" t="s">
        <v>19</v>
      </c>
      <c r="H216" s="5">
        <v>3</v>
      </c>
      <c r="I216" s="5">
        <v>899.99</v>
      </c>
      <c r="J216" s="1" t="s">
        <v>20</v>
      </c>
      <c r="K216" s="1" t="s">
        <v>63</v>
      </c>
      <c r="L216" s="1" t="s">
        <v>36</v>
      </c>
      <c r="M216" s="4">
        <v>44613</v>
      </c>
      <c r="N216" s="5">
        <v>2699.97</v>
      </c>
      <c r="O216" s="1"/>
      <c r="P216" s="1"/>
      <c r="Q216" s="1"/>
      <c r="R216" s="1"/>
      <c r="S216" s="1"/>
      <c r="T216" s="1"/>
      <c r="U216" s="1"/>
      <c r="V216" s="1"/>
      <c r="W216" s="1"/>
      <c r="X216" s="1"/>
      <c r="Y216" s="1"/>
      <c r="Z216" s="1"/>
    </row>
    <row r="217" spans="1:26" ht="29.4" thickBot="1" x14ac:dyDescent="0.35">
      <c r="A217" s="1" t="s">
        <v>362</v>
      </c>
      <c r="B217" s="4">
        <v>45708</v>
      </c>
      <c r="C217" s="1" t="s">
        <v>192</v>
      </c>
      <c r="D217" s="1" t="s">
        <v>193</v>
      </c>
      <c r="E217" s="1" t="s">
        <v>126</v>
      </c>
      <c r="F217" s="1" t="s">
        <v>127</v>
      </c>
      <c r="G217" s="1" t="s">
        <v>46</v>
      </c>
      <c r="H217" s="5">
        <v>3</v>
      </c>
      <c r="I217" s="5">
        <v>199.99</v>
      </c>
      <c r="J217" s="1" t="s">
        <v>20</v>
      </c>
      <c r="K217" s="1" t="s">
        <v>50</v>
      </c>
      <c r="L217" s="1" t="s">
        <v>27</v>
      </c>
      <c r="M217" s="4">
        <v>44823</v>
      </c>
      <c r="N217" s="5">
        <v>599.97</v>
      </c>
      <c r="O217" s="1"/>
      <c r="P217" s="1"/>
      <c r="Q217" s="1"/>
      <c r="R217" s="1"/>
      <c r="S217" s="1"/>
      <c r="T217" s="1"/>
      <c r="U217" s="1"/>
      <c r="V217" s="1"/>
      <c r="W217" s="1"/>
      <c r="X217" s="1"/>
      <c r="Y217" s="1"/>
      <c r="Z217" s="1"/>
    </row>
    <row r="218" spans="1:26" ht="29.4" thickBot="1" x14ac:dyDescent="0.35">
      <c r="A218" s="1" t="s">
        <v>363</v>
      </c>
      <c r="B218" s="4">
        <v>45710</v>
      </c>
      <c r="C218" s="1" t="s">
        <v>55</v>
      </c>
      <c r="D218" s="1" t="s">
        <v>56</v>
      </c>
      <c r="E218" s="1" t="s">
        <v>105</v>
      </c>
      <c r="F218" s="1" t="s">
        <v>106</v>
      </c>
      <c r="G218" s="1" t="s">
        <v>46</v>
      </c>
      <c r="H218" s="5">
        <v>5</v>
      </c>
      <c r="I218" s="5">
        <v>299.99</v>
      </c>
      <c r="J218" s="1" t="s">
        <v>20</v>
      </c>
      <c r="K218" s="1" t="s">
        <v>50</v>
      </c>
      <c r="L218" s="1" t="s">
        <v>36</v>
      </c>
      <c r="M218" s="4">
        <v>45142</v>
      </c>
      <c r="N218" s="5">
        <v>1499.95</v>
      </c>
      <c r="O218" s="1"/>
      <c r="P218" s="1"/>
      <c r="Q218" s="1"/>
      <c r="R218" s="1"/>
      <c r="S218" s="1"/>
      <c r="T218" s="1"/>
      <c r="U218" s="1"/>
      <c r="V218" s="1"/>
      <c r="W218" s="1"/>
      <c r="X218" s="1"/>
      <c r="Y218" s="1"/>
      <c r="Z218" s="1"/>
    </row>
    <row r="219" spans="1:26" ht="29.4" thickBot="1" x14ac:dyDescent="0.35">
      <c r="A219" s="1" t="s">
        <v>364</v>
      </c>
      <c r="B219" s="4">
        <v>45710</v>
      </c>
      <c r="C219" s="1" t="s">
        <v>150</v>
      </c>
      <c r="D219" s="1" t="s">
        <v>151</v>
      </c>
      <c r="E219" s="1" t="s">
        <v>80</v>
      </c>
      <c r="F219" s="1" t="s">
        <v>81</v>
      </c>
      <c r="G219" s="1" t="s">
        <v>19</v>
      </c>
      <c r="H219" s="5">
        <v>1</v>
      </c>
      <c r="I219" s="5">
        <v>699.99</v>
      </c>
      <c r="J219" s="1" t="s">
        <v>34</v>
      </c>
      <c r="K219" s="1" t="s">
        <v>50</v>
      </c>
      <c r="L219" s="1" t="s">
        <v>22</v>
      </c>
      <c r="M219" s="4">
        <v>44934</v>
      </c>
      <c r="N219" s="5">
        <v>699.99</v>
      </c>
      <c r="O219" s="1"/>
      <c r="P219" s="1"/>
      <c r="Q219" s="1"/>
      <c r="R219" s="1"/>
      <c r="S219" s="1"/>
      <c r="T219" s="1"/>
      <c r="U219" s="1"/>
      <c r="V219" s="1"/>
      <c r="W219" s="1"/>
      <c r="X219" s="1"/>
      <c r="Y219" s="1"/>
      <c r="Z219" s="1"/>
    </row>
    <row r="220" spans="1:26" ht="29.4" thickBot="1" x14ac:dyDescent="0.35">
      <c r="A220" s="1" t="s">
        <v>365</v>
      </c>
      <c r="B220" s="4">
        <v>45711</v>
      </c>
      <c r="C220" s="1" t="s">
        <v>246</v>
      </c>
      <c r="D220" s="1" t="s">
        <v>247</v>
      </c>
      <c r="E220" s="1" t="s">
        <v>80</v>
      </c>
      <c r="F220" s="1" t="s">
        <v>81</v>
      </c>
      <c r="G220" s="1" t="s">
        <v>19</v>
      </c>
      <c r="H220" s="5">
        <v>1</v>
      </c>
      <c r="I220" s="5">
        <v>699.99</v>
      </c>
      <c r="J220" s="1" t="s">
        <v>20</v>
      </c>
      <c r="K220" s="1" t="s">
        <v>40</v>
      </c>
      <c r="L220" s="1" t="s">
        <v>27</v>
      </c>
      <c r="M220" s="4">
        <v>44583</v>
      </c>
      <c r="N220" s="5">
        <v>699.99</v>
      </c>
      <c r="O220" s="1"/>
      <c r="P220" s="1"/>
      <c r="Q220" s="1"/>
      <c r="R220" s="1"/>
      <c r="S220" s="1"/>
      <c r="T220" s="1"/>
      <c r="U220" s="1"/>
      <c r="V220" s="1"/>
      <c r="W220" s="1"/>
      <c r="X220" s="1"/>
      <c r="Y220" s="1"/>
      <c r="Z220" s="1"/>
    </row>
    <row r="221" spans="1:26" ht="29.4" thickBot="1" x14ac:dyDescent="0.35">
      <c r="A221" s="1" t="s">
        <v>366</v>
      </c>
      <c r="B221" s="4">
        <v>45711</v>
      </c>
      <c r="C221" s="1" t="s">
        <v>325</v>
      </c>
      <c r="D221" s="1" t="s">
        <v>326</v>
      </c>
      <c r="E221" s="1" t="s">
        <v>44</v>
      </c>
      <c r="F221" s="1" t="s">
        <v>45</v>
      </c>
      <c r="G221" s="1" t="s">
        <v>46</v>
      </c>
      <c r="H221" s="5">
        <v>4</v>
      </c>
      <c r="I221" s="5">
        <v>149.99</v>
      </c>
      <c r="J221" s="1" t="s">
        <v>34</v>
      </c>
      <c r="K221" s="1" t="s">
        <v>40</v>
      </c>
      <c r="L221" s="1" t="s">
        <v>27</v>
      </c>
      <c r="M221" s="4">
        <v>44412</v>
      </c>
      <c r="N221" s="5">
        <v>599.96</v>
      </c>
      <c r="O221" s="1"/>
      <c r="P221" s="1"/>
      <c r="Q221" s="1"/>
      <c r="R221" s="1"/>
      <c r="S221" s="1"/>
      <c r="T221" s="1"/>
      <c r="U221" s="1"/>
      <c r="V221" s="1"/>
      <c r="W221" s="1"/>
      <c r="X221" s="1"/>
      <c r="Y221" s="1"/>
      <c r="Z221" s="1"/>
    </row>
    <row r="222" spans="1:26" ht="29.4" thickBot="1" x14ac:dyDescent="0.35">
      <c r="A222" s="1" t="s">
        <v>367</v>
      </c>
      <c r="B222" s="4">
        <v>45711</v>
      </c>
      <c r="C222" s="1" t="s">
        <v>211</v>
      </c>
      <c r="D222" s="1" t="s">
        <v>212</v>
      </c>
      <c r="E222" s="1" t="s">
        <v>117</v>
      </c>
      <c r="F222" s="1" t="s">
        <v>118</v>
      </c>
      <c r="G222" s="1" t="s">
        <v>19</v>
      </c>
      <c r="H222" s="5">
        <v>5</v>
      </c>
      <c r="I222" s="5">
        <v>89.99</v>
      </c>
      <c r="J222" s="1" t="s">
        <v>34</v>
      </c>
      <c r="K222" s="1" t="s">
        <v>50</v>
      </c>
      <c r="L222" s="1" t="s">
        <v>27</v>
      </c>
      <c r="M222" s="4">
        <v>45140</v>
      </c>
      <c r="N222" s="5">
        <v>449.95</v>
      </c>
      <c r="O222" s="1"/>
      <c r="P222" s="1"/>
      <c r="Q222" s="1"/>
      <c r="R222" s="1"/>
      <c r="S222" s="1"/>
      <c r="T222" s="1"/>
      <c r="U222" s="1"/>
      <c r="V222" s="1"/>
      <c r="W222" s="1"/>
      <c r="X222" s="1"/>
      <c r="Y222" s="1"/>
      <c r="Z222" s="1"/>
    </row>
    <row r="223" spans="1:26" ht="29.4" thickBot="1" x14ac:dyDescent="0.35">
      <c r="A223" s="1" t="s">
        <v>368</v>
      </c>
      <c r="B223" s="4">
        <v>45712</v>
      </c>
      <c r="C223" s="1" t="s">
        <v>138</v>
      </c>
      <c r="D223" s="1" t="s">
        <v>139</v>
      </c>
      <c r="E223" s="1" t="s">
        <v>126</v>
      </c>
      <c r="F223" s="1" t="s">
        <v>127</v>
      </c>
      <c r="G223" s="1" t="s">
        <v>46</v>
      </c>
      <c r="H223" s="5">
        <v>2</v>
      </c>
      <c r="I223" s="5">
        <v>199.99</v>
      </c>
      <c r="J223" s="1" t="s">
        <v>20</v>
      </c>
      <c r="K223" s="1" t="s">
        <v>21</v>
      </c>
      <c r="L223" s="1" t="s">
        <v>27</v>
      </c>
      <c r="M223" s="4">
        <v>44573</v>
      </c>
      <c r="N223" s="5">
        <v>399.98</v>
      </c>
      <c r="O223" s="1"/>
      <c r="P223" s="1"/>
      <c r="Q223" s="1"/>
      <c r="R223" s="1"/>
      <c r="S223" s="1"/>
      <c r="T223" s="1"/>
      <c r="U223" s="1"/>
      <c r="V223" s="1"/>
      <c r="W223" s="1"/>
      <c r="X223" s="1"/>
      <c r="Y223" s="1"/>
      <c r="Z223" s="1"/>
    </row>
    <row r="224" spans="1:26" ht="29.4" thickBot="1" x14ac:dyDescent="0.35">
      <c r="A224" s="1" t="s">
        <v>369</v>
      </c>
      <c r="B224" s="4">
        <v>45715</v>
      </c>
      <c r="C224" s="1" t="s">
        <v>259</v>
      </c>
      <c r="D224" s="1" t="s">
        <v>260</v>
      </c>
      <c r="E224" s="1" t="s">
        <v>31</v>
      </c>
      <c r="F224" s="1" t="s">
        <v>32</v>
      </c>
      <c r="G224" s="1" t="s">
        <v>33</v>
      </c>
      <c r="H224" s="5">
        <v>4</v>
      </c>
      <c r="I224" s="5">
        <v>59.99</v>
      </c>
      <c r="J224" s="1" t="s">
        <v>20</v>
      </c>
      <c r="K224" s="1" t="s">
        <v>50</v>
      </c>
      <c r="L224" s="1" t="s">
        <v>36</v>
      </c>
      <c r="M224" s="4">
        <v>45070</v>
      </c>
      <c r="N224" s="5">
        <v>239.96</v>
      </c>
      <c r="O224" s="1"/>
      <c r="P224" s="1"/>
      <c r="Q224" s="1"/>
      <c r="R224" s="1"/>
      <c r="S224" s="1"/>
      <c r="T224" s="1"/>
      <c r="U224" s="1"/>
      <c r="V224" s="1"/>
      <c r="W224" s="1"/>
      <c r="X224" s="1"/>
      <c r="Y224" s="1"/>
      <c r="Z224" s="1"/>
    </row>
    <row r="225" spans="1:26" ht="29.4" thickBot="1" x14ac:dyDescent="0.35">
      <c r="A225" s="1" t="s">
        <v>370</v>
      </c>
      <c r="B225" s="4">
        <v>45715</v>
      </c>
      <c r="C225" s="1" t="s">
        <v>93</v>
      </c>
      <c r="D225" s="1" t="s">
        <v>94</v>
      </c>
      <c r="E225" s="1" t="s">
        <v>105</v>
      </c>
      <c r="F225" s="1" t="s">
        <v>106</v>
      </c>
      <c r="G225" s="1" t="s">
        <v>46</v>
      </c>
      <c r="H225" s="5">
        <v>2</v>
      </c>
      <c r="I225" s="5">
        <v>299.99</v>
      </c>
      <c r="J225" s="1" t="s">
        <v>34</v>
      </c>
      <c r="K225" s="1" t="s">
        <v>35</v>
      </c>
      <c r="L225" s="1" t="s">
        <v>22</v>
      </c>
      <c r="M225" s="4">
        <v>44576</v>
      </c>
      <c r="N225" s="5">
        <v>599.98</v>
      </c>
      <c r="O225" s="1"/>
      <c r="P225" s="1"/>
      <c r="Q225" s="1"/>
      <c r="R225" s="1"/>
      <c r="S225" s="1"/>
      <c r="T225" s="1"/>
      <c r="U225" s="1"/>
      <c r="V225" s="1"/>
      <c r="W225" s="1"/>
      <c r="X225" s="1"/>
      <c r="Y225" s="1"/>
      <c r="Z225" s="1"/>
    </row>
    <row r="226" spans="1:26" ht="29.4" thickBot="1" x14ac:dyDescent="0.35">
      <c r="A226" s="1" t="s">
        <v>371</v>
      </c>
      <c r="B226" s="4">
        <v>45718</v>
      </c>
      <c r="C226" s="1" t="s">
        <v>55</v>
      </c>
      <c r="D226" s="1" t="s">
        <v>56</v>
      </c>
      <c r="E226" s="1" t="s">
        <v>44</v>
      </c>
      <c r="F226" s="1" t="s">
        <v>45</v>
      </c>
      <c r="G226" s="1" t="s">
        <v>46</v>
      </c>
      <c r="H226" s="5">
        <v>2</v>
      </c>
      <c r="I226" s="5">
        <v>149.99</v>
      </c>
      <c r="J226" s="1" t="s">
        <v>20</v>
      </c>
      <c r="K226" s="1" t="s">
        <v>21</v>
      </c>
      <c r="L226" s="1" t="s">
        <v>22</v>
      </c>
      <c r="M226" s="4">
        <v>45068</v>
      </c>
      <c r="N226" s="5">
        <v>299.98</v>
      </c>
      <c r="O226" s="1"/>
      <c r="P226" s="1"/>
      <c r="Q226" s="1"/>
      <c r="R226" s="1"/>
      <c r="S226" s="1"/>
      <c r="T226" s="1"/>
      <c r="U226" s="1"/>
      <c r="V226" s="1"/>
      <c r="W226" s="1"/>
      <c r="X226" s="1"/>
      <c r="Y226" s="1"/>
      <c r="Z226" s="1"/>
    </row>
    <row r="227" spans="1:26" ht="29.4" thickBot="1" x14ac:dyDescent="0.35">
      <c r="A227" s="1" t="s">
        <v>372</v>
      </c>
      <c r="B227" s="4">
        <v>45720</v>
      </c>
      <c r="C227" s="1" t="s">
        <v>226</v>
      </c>
      <c r="D227" s="1" t="s">
        <v>227</v>
      </c>
      <c r="E227" s="1" t="s">
        <v>80</v>
      </c>
      <c r="F227" s="1" t="s">
        <v>81</v>
      </c>
      <c r="G227" s="1" t="s">
        <v>19</v>
      </c>
      <c r="H227" s="5">
        <v>5</v>
      </c>
      <c r="I227" s="5">
        <v>699.99</v>
      </c>
      <c r="J227" s="1" t="s">
        <v>57</v>
      </c>
      <c r="K227" s="1" t="s">
        <v>63</v>
      </c>
      <c r="L227" s="1" t="s">
        <v>27</v>
      </c>
      <c r="M227" s="4">
        <v>45161</v>
      </c>
      <c r="N227" s="5">
        <v>3499.95</v>
      </c>
      <c r="O227" s="1"/>
      <c r="P227" s="1"/>
      <c r="Q227" s="1"/>
      <c r="R227" s="1"/>
      <c r="S227" s="1"/>
      <c r="T227" s="1"/>
      <c r="U227" s="1"/>
      <c r="V227" s="1"/>
      <c r="W227" s="1"/>
      <c r="X227" s="1"/>
      <c r="Y227" s="1"/>
      <c r="Z227" s="1"/>
    </row>
    <row r="228" spans="1:26" ht="29.4" thickBot="1" x14ac:dyDescent="0.35">
      <c r="A228" s="1" t="s">
        <v>373</v>
      </c>
      <c r="B228" s="4">
        <v>45721</v>
      </c>
      <c r="C228" s="1" t="s">
        <v>75</v>
      </c>
      <c r="D228" s="1" t="s">
        <v>76</v>
      </c>
      <c r="E228" s="1" t="s">
        <v>31</v>
      </c>
      <c r="F228" s="1" t="s">
        <v>32</v>
      </c>
      <c r="G228" s="1" t="s">
        <v>33</v>
      </c>
      <c r="H228" s="5">
        <v>5</v>
      </c>
      <c r="I228" s="5">
        <v>59.99</v>
      </c>
      <c r="J228" s="1" t="s">
        <v>20</v>
      </c>
      <c r="K228" s="1" t="s">
        <v>50</v>
      </c>
      <c r="L228" s="1" t="s">
        <v>27</v>
      </c>
      <c r="M228" s="4">
        <v>45291</v>
      </c>
      <c r="N228" s="5">
        <v>299.95</v>
      </c>
      <c r="O228" s="1"/>
      <c r="P228" s="1"/>
      <c r="Q228" s="1"/>
      <c r="R228" s="1"/>
      <c r="S228" s="1"/>
      <c r="T228" s="1"/>
      <c r="U228" s="1"/>
      <c r="V228" s="1"/>
      <c r="W228" s="1"/>
      <c r="X228" s="1"/>
      <c r="Y228" s="1"/>
      <c r="Z228" s="1"/>
    </row>
    <row r="229" spans="1:26" ht="29.4" thickBot="1" x14ac:dyDescent="0.35">
      <c r="A229" s="1" t="s">
        <v>374</v>
      </c>
      <c r="B229" s="4">
        <v>45723</v>
      </c>
      <c r="C229" s="1" t="s">
        <v>15</v>
      </c>
      <c r="D229" s="1" t="s">
        <v>16</v>
      </c>
      <c r="E229" s="1" t="s">
        <v>117</v>
      </c>
      <c r="F229" s="1" t="s">
        <v>118</v>
      </c>
      <c r="G229" s="1" t="s">
        <v>19</v>
      </c>
      <c r="H229" s="5">
        <v>2</v>
      </c>
      <c r="I229" s="5">
        <v>89.99</v>
      </c>
      <c r="J229" s="1" t="s">
        <v>26</v>
      </c>
      <c r="K229" s="1" t="s">
        <v>50</v>
      </c>
      <c r="L229" s="1" t="s">
        <v>27</v>
      </c>
      <c r="M229" s="4">
        <v>45295</v>
      </c>
      <c r="N229" s="5">
        <v>179.98</v>
      </c>
      <c r="O229" s="1"/>
      <c r="P229" s="1"/>
      <c r="Q229" s="1"/>
      <c r="R229" s="1"/>
      <c r="S229" s="1"/>
      <c r="T229" s="1"/>
      <c r="U229" s="1"/>
      <c r="V229" s="1"/>
      <c r="W229" s="1"/>
      <c r="X229" s="1"/>
      <c r="Y229" s="1"/>
      <c r="Z229" s="1"/>
    </row>
    <row r="230" spans="1:26" ht="29.4" thickBot="1" x14ac:dyDescent="0.35">
      <c r="A230" s="1" t="s">
        <v>375</v>
      </c>
      <c r="B230" s="4">
        <v>45723</v>
      </c>
      <c r="C230" s="1" t="s">
        <v>120</v>
      </c>
      <c r="D230" s="1" t="s">
        <v>121</v>
      </c>
      <c r="E230" s="1" t="s">
        <v>17</v>
      </c>
      <c r="F230" s="1" t="s">
        <v>18</v>
      </c>
      <c r="G230" s="1" t="s">
        <v>19</v>
      </c>
      <c r="H230" s="5">
        <v>5</v>
      </c>
      <c r="I230" s="5">
        <v>249.99</v>
      </c>
      <c r="J230" s="1" t="s">
        <v>20</v>
      </c>
      <c r="K230" s="1" t="s">
        <v>63</v>
      </c>
      <c r="L230" s="1" t="s">
        <v>36</v>
      </c>
      <c r="M230" s="4">
        <v>44540</v>
      </c>
      <c r="N230" s="5">
        <v>1249.95</v>
      </c>
      <c r="O230" s="1"/>
      <c r="P230" s="1"/>
      <c r="Q230" s="1"/>
      <c r="R230" s="1"/>
      <c r="S230" s="1"/>
      <c r="T230" s="1"/>
      <c r="U230" s="1"/>
      <c r="V230" s="1"/>
      <c r="W230" s="1"/>
      <c r="X230" s="1"/>
      <c r="Y230" s="1"/>
      <c r="Z230" s="1"/>
    </row>
    <row r="231" spans="1:26" ht="29.4" thickBot="1" x14ac:dyDescent="0.35">
      <c r="A231" s="1" t="s">
        <v>376</v>
      </c>
      <c r="B231" s="4">
        <v>45724</v>
      </c>
      <c r="C231" s="1" t="s">
        <v>226</v>
      </c>
      <c r="D231" s="1" t="s">
        <v>227</v>
      </c>
      <c r="E231" s="1" t="s">
        <v>44</v>
      </c>
      <c r="F231" s="1" t="s">
        <v>45</v>
      </c>
      <c r="G231" s="1" t="s">
        <v>46</v>
      </c>
      <c r="H231" s="5">
        <v>2</v>
      </c>
      <c r="I231" s="5">
        <v>149.99</v>
      </c>
      <c r="J231" s="1" t="s">
        <v>34</v>
      </c>
      <c r="K231" s="1" t="s">
        <v>21</v>
      </c>
      <c r="L231" s="1" t="s">
        <v>27</v>
      </c>
      <c r="M231" s="4">
        <v>44632</v>
      </c>
      <c r="N231" s="5">
        <v>299.98</v>
      </c>
      <c r="O231" s="1"/>
      <c r="P231" s="1"/>
      <c r="Q231" s="1"/>
      <c r="R231" s="1"/>
      <c r="S231" s="1"/>
      <c r="T231" s="1"/>
      <c r="U231" s="1"/>
      <c r="V231" s="1"/>
      <c r="W231" s="1"/>
      <c r="X231" s="1"/>
      <c r="Y231" s="1"/>
      <c r="Z231" s="1"/>
    </row>
    <row r="232" spans="1:26" ht="29.4" thickBot="1" x14ac:dyDescent="0.35">
      <c r="A232" s="1" t="s">
        <v>377</v>
      </c>
      <c r="B232" s="4">
        <v>45724</v>
      </c>
      <c r="C232" s="1" t="s">
        <v>144</v>
      </c>
      <c r="D232" s="1" t="s">
        <v>145</v>
      </c>
      <c r="E232" s="1" t="s">
        <v>61</v>
      </c>
      <c r="F232" s="1" t="s">
        <v>62</v>
      </c>
      <c r="G232" s="1" t="s">
        <v>19</v>
      </c>
      <c r="H232" s="5">
        <v>5</v>
      </c>
      <c r="I232" s="5">
        <v>899.99</v>
      </c>
      <c r="J232" s="1" t="s">
        <v>34</v>
      </c>
      <c r="K232" s="1" t="s">
        <v>63</v>
      </c>
      <c r="L232" s="1" t="s">
        <v>27</v>
      </c>
      <c r="M232" s="4">
        <v>45389</v>
      </c>
      <c r="N232" s="5">
        <v>4499.95</v>
      </c>
      <c r="O232" s="1"/>
      <c r="P232" s="1"/>
      <c r="Q232" s="1"/>
      <c r="R232" s="1"/>
      <c r="S232" s="1"/>
      <c r="T232" s="1"/>
      <c r="U232" s="1"/>
      <c r="V232" s="1"/>
      <c r="W232" s="1"/>
      <c r="X232" s="1"/>
      <c r="Y232" s="1"/>
      <c r="Z232" s="1"/>
    </row>
    <row r="233" spans="1:26" ht="29.4" thickBot="1" x14ac:dyDescent="0.35">
      <c r="A233" s="1" t="s">
        <v>378</v>
      </c>
      <c r="B233" s="4">
        <v>45724</v>
      </c>
      <c r="C233" s="1" t="s">
        <v>55</v>
      </c>
      <c r="D233" s="1" t="s">
        <v>56</v>
      </c>
      <c r="E233" s="1" t="s">
        <v>44</v>
      </c>
      <c r="F233" s="1" t="s">
        <v>45</v>
      </c>
      <c r="G233" s="1" t="s">
        <v>46</v>
      </c>
      <c r="H233" s="5">
        <v>4</v>
      </c>
      <c r="I233" s="5">
        <v>149.99</v>
      </c>
      <c r="J233" s="1" t="s">
        <v>20</v>
      </c>
      <c r="K233" s="1" t="s">
        <v>21</v>
      </c>
      <c r="L233" s="1" t="s">
        <v>36</v>
      </c>
      <c r="M233" s="4">
        <v>45263</v>
      </c>
      <c r="N233" s="5">
        <v>599.96</v>
      </c>
      <c r="O233" s="1"/>
      <c r="P233" s="1"/>
      <c r="Q233" s="1"/>
      <c r="R233" s="1"/>
      <c r="S233" s="1"/>
      <c r="T233" s="1"/>
      <c r="U233" s="1"/>
      <c r="V233" s="1"/>
      <c r="W233" s="1"/>
      <c r="X233" s="1"/>
      <c r="Y233" s="1"/>
      <c r="Z233" s="1"/>
    </row>
    <row r="234" spans="1:26" ht="29.4" thickBot="1" x14ac:dyDescent="0.35">
      <c r="A234" s="1" t="s">
        <v>379</v>
      </c>
      <c r="B234" s="4">
        <v>45726</v>
      </c>
      <c r="C234" s="1" t="s">
        <v>144</v>
      </c>
      <c r="D234" s="1" t="s">
        <v>145</v>
      </c>
      <c r="E234" s="1" t="s">
        <v>17</v>
      </c>
      <c r="F234" s="1" t="s">
        <v>18</v>
      </c>
      <c r="G234" s="1" t="s">
        <v>19</v>
      </c>
      <c r="H234" s="5">
        <v>1</v>
      </c>
      <c r="I234" s="5">
        <v>249.99</v>
      </c>
      <c r="J234" s="1" t="s">
        <v>20</v>
      </c>
      <c r="K234" s="1" t="s">
        <v>40</v>
      </c>
      <c r="L234" s="1" t="s">
        <v>36</v>
      </c>
      <c r="M234" s="4">
        <v>45117</v>
      </c>
      <c r="N234" s="5">
        <v>249.99</v>
      </c>
      <c r="O234" s="1"/>
      <c r="P234" s="1"/>
      <c r="Q234" s="1"/>
      <c r="R234" s="1"/>
      <c r="S234" s="1"/>
      <c r="T234" s="1"/>
      <c r="U234" s="1"/>
      <c r="V234" s="1"/>
      <c r="W234" s="1"/>
      <c r="X234" s="1"/>
      <c r="Y234" s="1"/>
      <c r="Z234" s="1"/>
    </row>
    <row r="235" spans="1:26" ht="29.4" thickBot="1" x14ac:dyDescent="0.35">
      <c r="A235" s="1" t="s">
        <v>380</v>
      </c>
      <c r="B235" s="4">
        <v>45734</v>
      </c>
      <c r="C235" s="1" t="s">
        <v>192</v>
      </c>
      <c r="D235" s="1" t="s">
        <v>193</v>
      </c>
      <c r="E235" s="1" t="s">
        <v>31</v>
      </c>
      <c r="F235" s="1" t="s">
        <v>32</v>
      </c>
      <c r="G235" s="1" t="s">
        <v>33</v>
      </c>
      <c r="H235" s="5">
        <v>2</v>
      </c>
      <c r="I235" s="5">
        <v>59.99</v>
      </c>
      <c r="J235" s="1" t="s">
        <v>26</v>
      </c>
      <c r="K235" s="1" t="s">
        <v>50</v>
      </c>
      <c r="L235" s="1" t="s">
        <v>22</v>
      </c>
      <c r="M235" s="4">
        <v>45193</v>
      </c>
      <c r="N235" s="5">
        <v>119.98</v>
      </c>
      <c r="O235" s="1"/>
      <c r="P235" s="1"/>
      <c r="Q235" s="1"/>
      <c r="R235" s="1"/>
      <c r="S235" s="1"/>
      <c r="T235" s="1"/>
      <c r="U235" s="1"/>
      <c r="V235" s="1"/>
      <c r="W235" s="1"/>
      <c r="X235" s="1"/>
      <c r="Y235" s="1"/>
      <c r="Z235" s="1"/>
    </row>
    <row r="236" spans="1:26" ht="29.4" thickBot="1" x14ac:dyDescent="0.35">
      <c r="A236" s="1" t="s">
        <v>381</v>
      </c>
      <c r="B236" s="4">
        <v>45737</v>
      </c>
      <c r="C236" s="1" t="s">
        <v>132</v>
      </c>
      <c r="D236" s="1" t="s">
        <v>133</v>
      </c>
      <c r="E236" s="1" t="s">
        <v>44</v>
      </c>
      <c r="F236" s="1" t="s">
        <v>45</v>
      </c>
      <c r="G236" s="1" t="s">
        <v>46</v>
      </c>
      <c r="H236" s="5">
        <v>2</v>
      </c>
      <c r="I236" s="5">
        <v>149.99</v>
      </c>
      <c r="J236" s="1" t="s">
        <v>20</v>
      </c>
      <c r="K236" s="1" t="s">
        <v>50</v>
      </c>
      <c r="L236" s="1" t="s">
        <v>27</v>
      </c>
      <c r="M236" s="4">
        <v>45233</v>
      </c>
      <c r="N236" s="5">
        <v>299.98</v>
      </c>
      <c r="O236" s="1"/>
      <c r="P236" s="1"/>
      <c r="Q236" s="1"/>
      <c r="R236" s="1"/>
      <c r="S236" s="1"/>
      <c r="T236" s="1"/>
      <c r="U236" s="1"/>
      <c r="V236" s="1"/>
      <c r="W236" s="1"/>
      <c r="X236" s="1"/>
      <c r="Y236" s="1"/>
      <c r="Z236" s="1"/>
    </row>
    <row r="237" spans="1:26" ht="29.4" thickBot="1" x14ac:dyDescent="0.35">
      <c r="A237" s="1" t="s">
        <v>382</v>
      </c>
      <c r="B237" s="4">
        <v>45737</v>
      </c>
      <c r="C237" s="1" t="s">
        <v>150</v>
      </c>
      <c r="D237" s="1" t="s">
        <v>151</v>
      </c>
      <c r="E237" s="1" t="s">
        <v>61</v>
      </c>
      <c r="F237" s="1" t="s">
        <v>62</v>
      </c>
      <c r="G237" s="1" t="s">
        <v>19</v>
      </c>
      <c r="H237" s="5">
        <v>3</v>
      </c>
      <c r="I237" s="5">
        <v>899.99</v>
      </c>
      <c r="J237" s="1" t="s">
        <v>57</v>
      </c>
      <c r="K237" s="1" t="s">
        <v>40</v>
      </c>
      <c r="L237" s="1" t="s">
        <v>27</v>
      </c>
      <c r="M237" s="4">
        <v>44876</v>
      </c>
      <c r="N237" s="5">
        <v>2699.97</v>
      </c>
      <c r="O237" s="1"/>
      <c r="P237" s="1"/>
      <c r="Q237" s="1"/>
      <c r="R237" s="1"/>
      <c r="S237" s="1"/>
      <c r="T237" s="1"/>
      <c r="U237" s="1"/>
      <c r="V237" s="1"/>
      <c r="W237" s="1"/>
      <c r="X237" s="1"/>
      <c r="Y237" s="1"/>
      <c r="Z237" s="1"/>
    </row>
    <row r="238" spans="1:26" ht="29.4" thickBot="1" x14ac:dyDescent="0.35">
      <c r="A238" s="1" t="s">
        <v>383</v>
      </c>
      <c r="B238" s="4">
        <v>45737</v>
      </c>
      <c r="C238" s="1" t="s">
        <v>48</v>
      </c>
      <c r="D238" s="1" t="s">
        <v>49</v>
      </c>
      <c r="E238" s="1" t="s">
        <v>61</v>
      </c>
      <c r="F238" s="1" t="s">
        <v>62</v>
      </c>
      <c r="G238" s="1" t="s">
        <v>19</v>
      </c>
      <c r="H238" s="5">
        <v>3</v>
      </c>
      <c r="I238" s="5">
        <v>899.99</v>
      </c>
      <c r="J238" s="1" t="s">
        <v>34</v>
      </c>
      <c r="K238" s="1" t="s">
        <v>40</v>
      </c>
      <c r="L238" s="1" t="s">
        <v>22</v>
      </c>
      <c r="M238" s="4">
        <v>44975</v>
      </c>
      <c r="N238" s="5">
        <v>2699.97</v>
      </c>
      <c r="O238" s="1"/>
      <c r="P238" s="1"/>
      <c r="Q238" s="1"/>
      <c r="R238" s="1"/>
      <c r="S238" s="1"/>
      <c r="T238" s="1"/>
      <c r="U238" s="1"/>
      <c r="V238" s="1"/>
      <c r="W238" s="1"/>
      <c r="X238" s="1"/>
      <c r="Y238" s="1"/>
      <c r="Z238" s="1"/>
    </row>
    <row r="239" spans="1:26" ht="29.4" thickBot="1" x14ac:dyDescent="0.35">
      <c r="A239" s="1" t="s">
        <v>384</v>
      </c>
      <c r="B239" s="4">
        <v>45739</v>
      </c>
      <c r="C239" s="1" t="s">
        <v>15</v>
      </c>
      <c r="D239" s="1" t="s">
        <v>16</v>
      </c>
      <c r="E239" s="1" t="s">
        <v>105</v>
      </c>
      <c r="F239" s="1" t="s">
        <v>106</v>
      </c>
      <c r="G239" s="1" t="s">
        <v>46</v>
      </c>
      <c r="H239" s="5">
        <v>3</v>
      </c>
      <c r="I239" s="5">
        <v>299.99</v>
      </c>
      <c r="J239" s="1" t="s">
        <v>26</v>
      </c>
      <c r="K239" s="1" t="s">
        <v>50</v>
      </c>
      <c r="L239" s="1" t="s">
        <v>27</v>
      </c>
      <c r="M239" s="4">
        <v>45234</v>
      </c>
      <c r="N239" s="5">
        <v>899.97</v>
      </c>
      <c r="O239" s="1"/>
      <c r="P239" s="1"/>
      <c r="Q239" s="1"/>
      <c r="R239" s="1"/>
      <c r="S239" s="1"/>
      <c r="T239" s="1"/>
      <c r="U239" s="1"/>
      <c r="V239" s="1"/>
      <c r="W239" s="1"/>
      <c r="X239" s="1"/>
      <c r="Y239" s="1"/>
      <c r="Z239" s="1"/>
    </row>
    <row r="240" spans="1:26" ht="29.4" thickBot="1" x14ac:dyDescent="0.35">
      <c r="A240" s="1" t="s">
        <v>385</v>
      </c>
      <c r="B240" s="4">
        <v>45740</v>
      </c>
      <c r="C240" s="1" t="s">
        <v>386</v>
      </c>
      <c r="D240" s="1" t="s">
        <v>387</v>
      </c>
      <c r="E240" s="1" t="s">
        <v>44</v>
      </c>
      <c r="F240" s="1" t="s">
        <v>45</v>
      </c>
      <c r="G240" s="1" t="s">
        <v>46</v>
      </c>
      <c r="H240" s="5">
        <v>4</v>
      </c>
      <c r="I240" s="5">
        <v>149.99</v>
      </c>
      <c r="J240" s="1" t="s">
        <v>34</v>
      </c>
      <c r="K240" s="1" t="s">
        <v>50</v>
      </c>
      <c r="L240" s="1" t="s">
        <v>36</v>
      </c>
      <c r="M240" s="4">
        <v>44560</v>
      </c>
      <c r="N240" s="5">
        <v>599.96</v>
      </c>
      <c r="O240" s="1"/>
      <c r="P240" s="1"/>
      <c r="Q240" s="1"/>
      <c r="R240" s="1"/>
      <c r="S240" s="1"/>
      <c r="T240" s="1"/>
      <c r="U240" s="1"/>
      <c r="V240" s="1"/>
      <c r="W240" s="1"/>
      <c r="X240" s="1"/>
      <c r="Y240" s="1"/>
      <c r="Z240" s="1"/>
    </row>
    <row r="241" spans="1:26" ht="29.4" thickBot="1" x14ac:dyDescent="0.35">
      <c r="A241" s="1" t="s">
        <v>388</v>
      </c>
      <c r="B241" s="4">
        <v>45743</v>
      </c>
      <c r="C241" s="1" t="s">
        <v>102</v>
      </c>
      <c r="D241" s="1" t="s">
        <v>103</v>
      </c>
      <c r="E241" s="1" t="s">
        <v>114</v>
      </c>
      <c r="F241" s="1" t="s">
        <v>115</v>
      </c>
      <c r="G241" s="1" t="s">
        <v>33</v>
      </c>
      <c r="H241" s="5">
        <v>4</v>
      </c>
      <c r="I241" s="5">
        <v>79.989999999999995</v>
      </c>
      <c r="J241" s="1" t="s">
        <v>26</v>
      </c>
      <c r="K241" s="1" t="s">
        <v>21</v>
      </c>
      <c r="L241" s="1" t="s">
        <v>22</v>
      </c>
      <c r="M241" s="4">
        <v>45288</v>
      </c>
      <c r="N241" s="5">
        <v>319.95999999999998</v>
      </c>
      <c r="O241" s="1"/>
      <c r="P241" s="1"/>
      <c r="Q241" s="1"/>
      <c r="R241" s="1"/>
      <c r="S241" s="1"/>
      <c r="T241" s="1"/>
      <c r="U241" s="1"/>
      <c r="V241" s="1"/>
      <c r="W241" s="1"/>
      <c r="X241" s="1"/>
      <c r="Y241" s="1"/>
      <c r="Z241" s="1"/>
    </row>
    <row r="242" spans="1:26" ht="29.4" thickBot="1" x14ac:dyDescent="0.35">
      <c r="A242" s="1" t="s">
        <v>389</v>
      </c>
      <c r="B242" s="4">
        <v>45745</v>
      </c>
      <c r="C242" s="1" t="s">
        <v>185</v>
      </c>
      <c r="D242" s="1" t="s">
        <v>186</v>
      </c>
      <c r="E242" s="1" t="s">
        <v>117</v>
      </c>
      <c r="F242" s="1" t="s">
        <v>118</v>
      </c>
      <c r="G242" s="1" t="s">
        <v>19</v>
      </c>
      <c r="H242" s="5">
        <v>5</v>
      </c>
      <c r="I242" s="5">
        <v>89.99</v>
      </c>
      <c r="J242" s="1" t="s">
        <v>34</v>
      </c>
      <c r="K242" s="1" t="s">
        <v>35</v>
      </c>
      <c r="L242" s="1" t="s">
        <v>22</v>
      </c>
      <c r="M242" s="4">
        <v>44704</v>
      </c>
      <c r="N242" s="5">
        <v>449.95</v>
      </c>
      <c r="O242" s="1"/>
      <c r="P242" s="1"/>
      <c r="Q242" s="1"/>
      <c r="R242" s="1"/>
      <c r="S242" s="1"/>
      <c r="T242" s="1"/>
      <c r="U242" s="1"/>
      <c r="V242" s="1"/>
      <c r="W242" s="1"/>
      <c r="X242" s="1"/>
      <c r="Y242" s="1"/>
      <c r="Z242" s="1"/>
    </row>
    <row r="243" spans="1:26" ht="29.4" thickBot="1" x14ac:dyDescent="0.35">
      <c r="A243" s="1" t="s">
        <v>390</v>
      </c>
      <c r="B243" s="4">
        <v>45746</v>
      </c>
      <c r="C243" s="1" t="s">
        <v>93</v>
      </c>
      <c r="D243" s="1" t="s">
        <v>94</v>
      </c>
      <c r="E243" s="1" t="s">
        <v>44</v>
      </c>
      <c r="F243" s="1" t="s">
        <v>45</v>
      </c>
      <c r="G243" s="1" t="s">
        <v>46</v>
      </c>
      <c r="H243" s="5">
        <v>3</v>
      </c>
      <c r="I243" s="5">
        <v>149.99</v>
      </c>
      <c r="J243" s="1" t="s">
        <v>34</v>
      </c>
      <c r="K243" s="1" t="s">
        <v>21</v>
      </c>
      <c r="L243" s="1" t="s">
        <v>36</v>
      </c>
      <c r="M243" s="4">
        <v>45171</v>
      </c>
      <c r="N243" s="5">
        <v>449.97</v>
      </c>
      <c r="O243" s="1"/>
      <c r="P243" s="1"/>
      <c r="Q243" s="1"/>
      <c r="R243" s="1"/>
      <c r="S243" s="1"/>
      <c r="T243" s="1"/>
      <c r="U243" s="1"/>
      <c r="V243" s="1"/>
      <c r="W243" s="1"/>
      <c r="X243" s="1"/>
      <c r="Y243" s="1"/>
      <c r="Z243" s="1"/>
    </row>
    <row r="244" spans="1:26" ht="29.4" thickBot="1" x14ac:dyDescent="0.35">
      <c r="A244" s="1" t="s">
        <v>391</v>
      </c>
      <c r="B244" s="4">
        <v>45746</v>
      </c>
      <c r="C244" s="1" t="s">
        <v>65</v>
      </c>
      <c r="D244" s="1" t="s">
        <v>66</v>
      </c>
      <c r="E244" s="1" t="s">
        <v>117</v>
      </c>
      <c r="F244" s="1" t="s">
        <v>118</v>
      </c>
      <c r="G244" s="1" t="s">
        <v>19</v>
      </c>
      <c r="H244" s="5">
        <v>2</v>
      </c>
      <c r="I244" s="5">
        <v>89.99</v>
      </c>
      <c r="J244" s="1" t="s">
        <v>57</v>
      </c>
      <c r="K244" s="1" t="s">
        <v>50</v>
      </c>
      <c r="L244" s="1" t="s">
        <v>27</v>
      </c>
      <c r="M244" s="4">
        <v>44522</v>
      </c>
      <c r="N244" s="5">
        <v>179.98</v>
      </c>
      <c r="O244" s="1"/>
      <c r="P244" s="1"/>
      <c r="Q244" s="1"/>
      <c r="R244" s="1"/>
      <c r="S244" s="1"/>
      <c r="T244" s="1"/>
      <c r="U244" s="1"/>
      <c r="V244" s="1"/>
      <c r="W244" s="1"/>
      <c r="X244" s="1"/>
      <c r="Y244" s="1"/>
      <c r="Z244" s="1"/>
    </row>
    <row r="245" spans="1:26" ht="29.4" thickBot="1" x14ac:dyDescent="0.35">
      <c r="A245" s="1" t="s">
        <v>392</v>
      </c>
      <c r="B245" s="4">
        <v>45748</v>
      </c>
      <c r="C245" s="1" t="s">
        <v>102</v>
      </c>
      <c r="D245" s="1" t="s">
        <v>103</v>
      </c>
      <c r="E245" s="1" t="s">
        <v>80</v>
      </c>
      <c r="F245" s="1" t="s">
        <v>81</v>
      </c>
      <c r="G245" s="1" t="s">
        <v>19</v>
      </c>
      <c r="H245" s="5">
        <v>2</v>
      </c>
      <c r="I245" s="5">
        <v>699.99</v>
      </c>
      <c r="J245" s="1" t="s">
        <v>34</v>
      </c>
      <c r="K245" s="1" t="s">
        <v>40</v>
      </c>
      <c r="L245" s="1" t="s">
        <v>36</v>
      </c>
      <c r="M245" s="4">
        <v>44618</v>
      </c>
      <c r="N245" s="5">
        <v>1399.98</v>
      </c>
      <c r="O245" s="1"/>
      <c r="P245" s="1"/>
      <c r="Q245" s="1"/>
      <c r="R245" s="1"/>
      <c r="S245" s="1"/>
      <c r="T245" s="1"/>
      <c r="U245" s="1"/>
      <c r="V245" s="1"/>
      <c r="W245" s="1"/>
      <c r="X245" s="1"/>
      <c r="Y245" s="1"/>
      <c r="Z245" s="1"/>
    </row>
    <row r="246" spans="1:26" ht="29.4" thickBot="1" x14ac:dyDescent="0.35">
      <c r="A246" s="1" t="s">
        <v>393</v>
      </c>
      <c r="B246" s="4">
        <v>45749</v>
      </c>
      <c r="C246" s="1" t="s">
        <v>123</v>
      </c>
      <c r="D246" s="1" t="s">
        <v>124</v>
      </c>
      <c r="E246" s="1" t="s">
        <v>61</v>
      </c>
      <c r="F246" s="1" t="s">
        <v>62</v>
      </c>
      <c r="G246" s="1" t="s">
        <v>19</v>
      </c>
      <c r="H246" s="5">
        <v>3</v>
      </c>
      <c r="I246" s="5">
        <v>899.99</v>
      </c>
      <c r="J246" s="1" t="s">
        <v>20</v>
      </c>
      <c r="K246" s="1" t="s">
        <v>21</v>
      </c>
      <c r="L246" s="1" t="s">
        <v>36</v>
      </c>
      <c r="M246" s="4">
        <v>44953</v>
      </c>
      <c r="N246" s="5">
        <v>2699.97</v>
      </c>
      <c r="O246" s="1"/>
      <c r="P246" s="1"/>
      <c r="Q246" s="1"/>
      <c r="R246" s="1"/>
      <c r="S246" s="1"/>
      <c r="T246" s="1"/>
      <c r="U246" s="1"/>
      <c r="V246" s="1"/>
      <c r="W246" s="1"/>
      <c r="X246" s="1"/>
      <c r="Y246" s="1"/>
      <c r="Z246" s="1"/>
    </row>
    <row r="247" spans="1:26" ht="29.4" thickBot="1" x14ac:dyDescent="0.35">
      <c r="A247" s="1" t="s">
        <v>394</v>
      </c>
      <c r="B247" s="4">
        <v>45755</v>
      </c>
      <c r="C247" s="1" t="s">
        <v>93</v>
      </c>
      <c r="D247" s="1" t="s">
        <v>94</v>
      </c>
      <c r="E247" s="1" t="s">
        <v>114</v>
      </c>
      <c r="F247" s="1" t="s">
        <v>115</v>
      </c>
      <c r="G247" s="1" t="s">
        <v>33</v>
      </c>
      <c r="H247" s="5">
        <v>3</v>
      </c>
      <c r="I247" s="5">
        <v>79.989999999999995</v>
      </c>
      <c r="J247" s="1" t="s">
        <v>26</v>
      </c>
      <c r="K247" s="1" t="s">
        <v>40</v>
      </c>
      <c r="L247" s="1" t="s">
        <v>22</v>
      </c>
      <c r="M247" s="4">
        <v>44511</v>
      </c>
      <c r="N247" s="5">
        <v>239.97</v>
      </c>
      <c r="O247" s="1"/>
      <c r="P247" s="1"/>
      <c r="Q247" s="1"/>
      <c r="R247" s="1"/>
      <c r="S247" s="1"/>
      <c r="T247" s="1"/>
      <c r="U247" s="1"/>
      <c r="V247" s="1"/>
      <c r="W247" s="1"/>
      <c r="X247" s="1"/>
      <c r="Y247" s="1"/>
      <c r="Z247" s="1"/>
    </row>
    <row r="248" spans="1:26" ht="29.4" thickBot="1" x14ac:dyDescent="0.35">
      <c r="A248" s="1" t="s">
        <v>395</v>
      </c>
      <c r="B248" s="4">
        <v>45756</v>
      </c>
      <c r="C248" s="1" t="s">
        <v>59</v>
      </c>
      <c r="D248" s="1" t="s">
        <v>60</v>
      </c>
      <c r="E248" s="1" t="s">
        <v>117</v>
      </c>
      <c r="F248" s="1" t="s">
        <v>118</v>
      </c>
      <c r="G248" s="1" t="s">
        <v>19</v>
      </c>
      <c r="H248" s="5">
        <v>1</v>
      </c>
      <c r="I248" s="5">
        <v>89.99</v>
      </c>
      <c r="J248" s="1" t="s">
        <v>57</v>
      </c>
      <c r="K248" s="1" t="s">
        <v>63</v>
      </c>
      <c r="L248" s="1" t="s">
        <v>22</v>
      </c>
      <c r="M248" s="4">
        <v>45346</v>
      </c>
      <c r="N248" s="5">
        <v>89.99</v>
      </c>
      <c r="O248" s="1"/>
      <c r="P248" s="1"/>
      <c r="Q248" s="1"/>
      <c r="R248" s="1"/>
      <c r="S248" s="1"/>
      <c r="T248" s="1"/>
      <c r="U248" s="1"/>
      <c r="V248" s="1"/>
      <c r="W248" s="1"/>
      <c r="X248" s="1"/>
      <c r="Y248" s="1"/>
      <c r="Z248" s="1"/>
    </row>
    <row r="249" spans="1:26" ht="29.4" thickBot="1" x14ac:dyDescent="0.35">
      <c r="A249" s="1" t="s">
        <v>396</v>
      </c>
      <c r="B249" s="4">
        <v>45758</v>
      </c>
      <c r="C249" s="1" t="s">
        <v>293</v>
      </c>
      <c r="D249" s="1" t="s">
        <v>294</v>
      </c>
      <c r="E249" s="1" t="s">
        <v>80</v>
      </c>
      <c r="F249" s="1" t="s">
        <v>81</v>
      </c>
      <c r="G249" s="1" t="s">
        <v>19</v>
      </c>
      <c r="H249" s="5">
        <v>3</v>
      </c>
      <c r="I249" s="5">
        <v>699.99</v>
      </c>
      <c r="J249" s="1" t="s">
        <v>34</v>
      </c>
      <c r="K249" s="1" t="s">
        <v>40</v>
      </c>
      <c r="L249" s="1" t="s">
        <v>22</v>
      </c>
      <c r="M249" s="4">
        <v>44909</v>
      </c>
      <c r="N249" s="5">
        <v>2099.9699999999998</v>
      </c>
      <c r="O249" s="1"/>
      <c r="P249" s="1"/>
      <c r="Q249" s="1"/>
      <c r="R249" s="1"/>
      <c r="S249" s="1"/>
      <c r="T249" s="1"/>
      <c r="U249" s="1"/>
      <c r="V249" s="1"/>
      <c r="W249" s="1"/>
      <c r="X249" s="1"/>
      <c r="Y249" s="1"/>
      <c r="Z249" s="1"/>
    </row>
    <row r="250" spans="1:26" ht="29.4" thickBot="1" x14ac:dyDescent="0.35">
      <c r="A250" s="1" t="s">
        <v>397</v>
      </c>
      <c r="B250" s="4">
        <v>45758</v>
      </c>
      <c r="C250" s="1" t="s">
        <v>226</v>
      </c>
      <c r="D250" s="1" t="s">
        <v>227</v>
      </c>
      <c r="E250" s="1" t="s">
        <v>117</v>
      </c>
      <c r="F250" s="1" t="s">
        <v>118</v>
      </c>
      <c r="G250" s="1" t="s">
        <v>19</v>
      </c>
      <c r="H250" s="5">
        <v>2</v>
      </c>
      <c r="I250" s="5">
        <v>89.99</v>
      </c>
      <c r="J250" s="1" t="s">
        <v>57</v>
      </c>
      <c r="K250" s="1" t="s">
        <v>63</v>
      </c>
      <c r="L250" s="1" t="s">
        <v>22</v>
      </c>
      <c r="M250" s="4">
        <v>45088</v>
      </c>
      <c r="N250" s="5">
        <v>179.98</v>
      </c>
      <c r="O250" s="1"/>
      <c r="P250" s="1"/>
      <c r="Q250" s="1"/>
      <c r="R250" s="1"/>
      <c r="S250" s="1"/>
      <c r="T250" s="1"/>
      <c r="U250" s="1"/>
      <c r="V250" s="1"/>
      <c r="W250" s="1"/>
      <c r="X250" s="1"/>
      <c r="Y250" s="1"/>
      <c r="Z250" s="1"/>
    </row>
    <row r="251" spans="1:26" ht="29.4" thickBot="1" x14ac:dyDescent="0.35">
      <c r="A251" s="1" t="s">
        <v>398</v>
      </c>
      <c r="B251" s="4">
        <v>45758</v>
      </c>
      <c r="C251" s="1" t="s">
        <v>138</v>
      </c>
      <c r="D251" s="1" t="s">
        <v>139</v>
      </c>
      <c r="E251" s="1" t="s">
        <v>117</v>
      </c>
      <c r="F251" s="1" t="s">
        <v>118</v>
      </c>
      <c r="G251" s="1" t="s">
        <v>19</v>
      </c>
      <c r="H251" s="5">
        <v>3</v>
      </c>
      <c r="I251" s="5">
        <v>89.99</v>
      </c>
      <c r="J251" s="1" t="s">
        <v>57</v>
      </c>
      <c r="K251" s="1" t="s">
        <v>40</v>
      </c>
      <c r="L251" s="1" t="s">
        <v>27</v>
      </c>
      <c r="M251" s="4">
        <v>44878</v>
      </c>
      <c r="N251" s="5">
        <v>269.97000000000003</v>
      </c>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A6E9-59E1-4A14-B326-817620C5E5C8}">
  <dimension ref="A1:F9"/>
  <sheetViews>
    <sheetView workbookViewId="0">
      <selection activeCell="F2" sqref="F2"/>
    </sheetView>
  </sheetViews>
  <sheetFormatPr defaultRowHeight="14.4" x14ac:dyDescent="0.3"/>
  <cols>
    <col min="2" max="2" width="11.88671875" customWidth="1"/>
    <col min="3" max="3" width="12.88671875" customWidth="1"/>
    <col min="6" max="6" width="17.44140625" customWidth="1"/>
  </cols>
  <sheetData>
    <row r="1" spans="1:6" ht="29.4" thickBot="1" x14ac:dyDescent="0.35">
      <c r="A1" s="34" t="s">
        <v>7</v>
      </c>
      <c r="B1" s="34" t="s">
        <v>8</v>
      </c>
      <c r="C1" t="s">
        <v>13</v>
      </c>
    </row>
    <row r="2" spans="1:6" ht="15" thickBot="1" x14ac:dyDescent="0.35">
      <c r="A2" s="35">
        <v>3</v>
      </c>
      <c r="B2" s="35">
        <v>249.99</v>
      </c>
      <c r="C2">
        <f>A2*B2</f>
        <v>749.97</v>
      </c>
      <c r="F2" t="s">
        <v>473</v>
      </c>
    </row>
    <row r="3" spans="1:6" ht="15" thickBot="1" x14ac:dyDescent="0.35">
      <c r="A3" s="36">
        <v>3</v>
      </c>
      <c r="B3" s="36">
        <v>249.99</v>
      </c>
      <c r="C3">
        <f t="shared" ref="C3:C9" si="0">A3*B3</f>
        <v>749.97</v>
      </c>
    </row>
    <row r="4" spans="1:6" ht="15" thickBot="1" x14ac:dyDescent="0.35">
      <c r="A4" s="35">
        <v>3</v>
      </c>
      <c r="B4" s="35">
        <v>59.99</v>
      </c>
      <c r="C4">
        <f t="shared" si="0"/>
        <v>179.97</v>
      </c>
      <c r="F4" t="s">
        <v>471</v>
      </c>
    </row>
    <row r="5" spans="1:6" ht="15" thickBot="1" x14ac:dyDescent="0.35">
      <c r="A5" s="36">
        <v>3</v>
      </c>
      <c r="B5" s="36">
        <v>59.99</v>
      </c>
      <c r="C5">
        <f t="shared" si="0"/>
        <v>179.97</v>
      </c>
      <c r="F5" t="s">
        <v>470</v>
      </c>
    </row>
    <row r="6" spans="1:6" ht="15" thickBot="1" x14ac:dyDescent="0.35">
      <c r="A6" s="35">
        <v>5</v>
      </c>
      <c r="B6" s="35">
        <v>149.99</v>
      </c>
      <c r="C6">
        <f t="shared" si="0"/>
        <v>749.95</v>
      </c>
      <c r="F6" t="s">
        <v>472</v>
      </c>
    </row>
    <row r="7" spans="1:6" ht="15" thickBot="1" x14ac:dyDescent="0.35">
      <c r="A7" s="36">
        <v>2</v>
      </c>
      <c r="B7" s="36">
        <v>59.99</v>
      </c>
      <c r="C7">
        <f t="shared" si="0"/>
        <v>119.98</v>
      </c>
    </row>
    <row r="8" spans="1:6" ht="15" thickBot="1" x14ac:dyDescent="0.35">
      <c r="A8" s="35">
        <v>6.6671111407427155</v>
      </c>
      <c r="B8" s="35">
        <v>149.99</v>
      </c>
      <c r="C8">
        <f t="shared" si="0"/>
        <v>1000</v>
      </c>
    </row>
    <row r="9" spans="1:6" ht="15" thickBot="1" x14ac:dyDescent="0.35">
      <c r="A9" s="36">
        <v>3</v>
      </c>
      <c r="B9" s="36">
        <v>59.99</v>
      </c>
      <c r="C9">
        <f t="shared" si="0"/>
        <v>179.97</v>
      </c>
    </row>
  </sheetData>
  <scenarios current="0" show="0" sqref="C2">
    <scenario name="Base_case" locked="1" count="2" user="Admin" comment="Created by Admin on 08-02-2026">
      <inputCells r="A2" val="3"/>
      <inputCells r="B2" val="249.99"/>
    </scenario>
    <scenario name="High_demand" locked="1" count="2" user="Admin" comment="Created by Admin on 08-02-2026">
      <inputCells r="A2" val="5"/>
      <inputCells r="B2" val="249.99"/>
    </scenario>
    <scenario name="highest_demand" locked="1" count="2" user="Admin" comment="Created by Admin on 08-02-2026">
      <inputCells r="A2" val="10"/>
      <inputCells r="B2" val="249.99"/>
    </scenario>
  </scenario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C0978-6514-464F-B8A8-03D218396F11}">
  <sheetPr>
    <outlinePr summaryBelow="0"/>
  </sheetPr>
  <dimension ref="B1:G12"/>
  <sheetViews>
    <sheetView showGridLines="0" topLeftCell="B1" workbookViewId="0">
      <selection activeCell="F15" sqref="F15"/>
    </sheetView>
  </sheetViews>
  <sheetFormatPr defaultRowHeight="14.4" outlineLevelRow="1" outlineLevelCol="1" x14ac:dyDescent="0.3"/>
  <cols>
    <col min="3" max="3" width="5.21875" bestFit="1" customWidth="1"/>
    <col min="4" max="7" width="14" bestFit="1" customWidth="1" outlineLevel="1"/>
  </cols>
  <sheetData>
    <row r="1" spans="2:7" ht="15" thickBot="1" x14ac:dyDescent="0.35"/>
    <row r="2" spans="2:7" ht="15.6" x14ac:dyDescent="0.3">
      <c r="B2" s="40" t="s">
        <v>463</v>
      </c>
      <c r="C2" s="40"/>
      <c r="D2" s="45"/>
      <c r="E2" s="45"/>
      <c r="F2" s="45"/>
      <c r="G2" s="45"/>
    </row>
    <row r="3" spans="2:7" ht="15.6" collapsed="1" x14ac:dyDescent="0.3">
      <c r="B3" s="39"/>
      <c r="C3" s="39"/>
      <c r="D3" s="46" t="s">
        <v>465</v>
      </c>
      <c r="E3" s="46" t="s">
        <v>459</v>
      </c>
      <c r="F3" s="46" t="s">
        <v>461</v>
      </c>
      <c r="G3" s="46" t="s">
        <v>462</v>
      </c>
    </row>
    <row r="4" spans="2:7" ht="20.399999999999999" hidden="1" outlineLevel="1" x14ac:dyDescent="0.3">
      <c r="B4" s="42"/>
      <c r="C4" s="42"/>
      <c r="D4" s="37"/>
      <c r="E4" s="48" t="s">
        <v>460</v>
      </c>
      <c r="F4" s="48" t="s">
        <v>460</v>
      </c>
      <c r="G4" s="48" t="s">
        <v>460</v>
      </c>
    </row>
    <row r="5" spans="2:7" x14ac:dyDescent="0.3">
      <c r="B5" s="43" t="s">
        <v>464</v>
      </c>
      <c r="C5" s="43"/>
      <c r="D5" s="41"/>
      <c r="E5" s="41"/>
      <c r="F5" s="41"/>
      <c r="G5" s="41"/>
    </row>
    <row r="6" spans="2:7" outlineLevel="1" x14ac:dyDescent="0.3">
      <c r="B6" s="42"/>
      <c r="C6" s="42" t="s">
        <v>456</v>
      </c>
      <c r="D6" s="37">
        <v>3</v>
      </c>
      <c r="E6" s="47">
        <v>3</v>
      </c>
      <c r="F6" s="47">
        <v>5</v>
      </c>
      <c r="G6" s="47">
        <v>10</v>
      </c>
    </row>
    <row r="7" spans="2:7" outlineLevel="1" x14ac:dyDescent="0.3">
      <c r="B7" s="42"/>
      <c r="C7" s="42" t="s">
        <v>457</v>
      </c>
      <c r="D7" s="37">
        <v>249.99</v>
      </c>
      <c r="E7" s="47">
        <v>249.99</v>
      </c>
      <c r="F7" s="47">
        <v>249.99</v>
      </c>
      <c r="G7" s="47">
        <v>249.99</v>
      </c>
    </row>
    <row r="8" spans="2:7" x14ac:dyDescent="0.3">
      <c r="B8" s="43" t="s">
        <v>466</v>
      </c>
      <c r="C8" s="43"/>
      <c r="D8" s="41"/>
      <c r="E8" s="41"/>
      <c r="F8" s="41"/>
      <c r="G8" s="41"/>
    </row>
    <row r="9" spans="2:7" ht="15" outlineLevel="1" thickBot="1" x14ac:dyDescent="0.35">
      <c r="B9" s="44"/>
      <c r="C9" s="44" t="s">
        <v>458</v>
      </c>
      <c r="D9" s="38">
        <v>749.97</v>
      </c>
      <c r="E9" s="38">
        <v>749.97</v>
      </c>
      <c r="F9" s="38">
        <v>1249.95</v>
      </c>
      <c r="G9" s="38">
        <v>2499.9</v>
      </c>
    </row>
    <row r="10" spans="2:7" x14ac:dyDescent="0.3">
      <c r="B10" t="s">
        <v>467</v>
      </c>
    </row>
    <row r="11" spans="2:7" x14ac:dyDescent="0.3">
      <c r="B11" t="s">
        <v>468</v>
      </c>
    </row>
    <row r="12" spans="2:7" x14ac:dyDescent="0.3">
      <c r="B12" t="s">
        <v>469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61C0-0ABA-4061-98C9-B4937E8665A8}">
  <dimension ref="A1:I18"/>
  <sheetViews>
    <sheetView workbookViewId="0">
      <selection activeCell="I11" sqref="I11"/>
    </sheetView>
  </sheetViews>
  <sheetFormatPr defaultRowHeight="14.4" x14ac:dyDescent="0.3"/>
  <cols>
    <col min="2" max="2" width="11.109375" customWidth="1"/>
    <col min="3" max="3" width="13" customWidth="1"/>
    <col min="4" max="4" width="12.21875" customWidth="1"/>
    <col min="5" max="5" width="12.6640625" customWidth="1"/>
    <col min="6" max="6" width="13.5546875" customWidth="1"/>
    <col min="7" max="7" width="12" customWidth="1"/>
    <col min="8" max="8" width="12.5546875" customWidth="1"/>
    <col min="9" max="9" width="12.6640625" customWidth="1"/>
  </cols>
  <sheetData>
    <row r="1" spans="1:9" x14ac:dyDescent="0.3">
      <c r="A1" t="s">
        <v>407</v>
      </c>
      <c r="F1" t="s">
        <v>432</v>
      </c>
    </row>
    <row r="2" spans="1:9" ht="15" thickBot="1" x14ac:dyDescent="0.35"/>
    <row r="3" spans="1:9" x14ac:dyDescent="0.3">
      <c r="A3" s="15" t="s">
        <v>408</v>
      </c>
      <c r="B3" s="15"/>
    </row>
    <row r="4" spans="1:9" x14ac:dyDescent="0.3">
      <c r="A4" t="s">
        <v>409</v>
      </c>
      <c r="B4">
        <v>0.83544893212536453</v>
      </c>
    </row>
    <row r="5" spans="1:9" x14ac:dyDescent="0.3">
      <c r="A5" t="s">
        <v>410</v>
      </c>
      <c r="B5">
        <v>0.69797491818941204</v>
      </c>
    </row>
    <row r="6" spans="1:9" x14ac:dyDescent="0.3">
      <c r="A6" t="s">
        <v>411</v>
      </c>
      <c r="B6">
        <v>0.69675707511759521</v>
      </c>
    </row>
    <row r="7" spans="1:9" x14ac:dyDescent="0.3">
      <c r="A7" t="s">
        <v>412</v>
      </c>
      <c r="B7">
        <v>151.34117254798738</v>
      </c>
    </row>
    <row r="8" spans="1:9" ht="15" thickBot="1" x14ac:dyDescent="0.35">
      <c r="A8" s="13" t="s">
        <v>413</v>
      </c>
      <c r="B8" s="13">
        <v>250</v>
      </c>
    </row>
    <row r="10" spans="1:9" ht="15" thickBot="1" x14ac:dyDescent="0.35">
      <c r="A10" t="s">
        <v>414</v>
      </c>
    </row>
    <row r="11" spans="1:9" x14ac:dyDescent="0.3">
      <c r="A11" s="14"/>
      <c r="B11" s="14" t="s">
        <v>419</v>
      </c>
      <c r="C11" s="14" t="s">
        <v>420</v>
      </c>
      <c r="D11" s="14" t="s">
        <v>421</v>
      </c>
      <c r="E11" s="14" t="s">
        <v>422</v>
      </c>
      <c r="F11" s="14" t="s">
        <v>423</v>
      </c>
    </row>
    <row r="12" spans="1:9" x14ac:dyDescent="0.3">
      <c r="A12" t="s">
        <v>415</v>
      </c>
      <c r="B12">
        <v>1</v>
      </c>
      <c r="C12">
        <v>13126915.07396641</v>
      </c>
      <c r="D12">
        <v>13126915.07396641</v>
      </c>
      <c r="E12">
        <v>573.12385671177697</v>
      </c>
      <c r="F12">
        <v>2.027408795377937E-66</v>
      </c>
    </row>
    <row r="13" spans="1:9" x14ac:dyDescent="0.3">
      <c r="A13" t="s">
        <v>416</v>
      </c>
      <c r="B13">
        <v>248</v>
      </c>
      <c r="C13">
        <v>5680229.3260335224</v>
      </c>
      <c r="D13">
        <v>22904.150508199687</v>
      </c>
    </row>
    <row r="14" spans="1:9" ht="15" thickBot="1" x14ac:dyDescent="0.35">
      <c r="A14" s="13" t="s">
        <v>417</v>
      </c>
      <c r="B14" s="13">
        <v>249</v>
      </c>
      <c r="C14" s="13">
        <v>18807144.399999931</v>
      </c>
      <c r="D14" s="13"/>
      <c r="E14" s="13"/>
      <c r="F14" s="13"/>
    </row>
    <row r="15" spans="1:9" ht="15" thickBot="1" x14ac:dyDescent="0.35"/>
    <row r="16" spans="1:9" x14ac:dyDescent="0.3">
      <c r="A16" s="14"/>
      <c r="B16" s="14" t="s">
        <v>424</v>
      </c>
      <c r="C16" s="14" t="s">
        <v>412</v>
      </c>
      <c r="D16" s="14" t="s">
        <v>425</v>
      </c>
      <c r="E16" s="14" t="s">
        <v>426</v>
      </c>
      <c r="F16" s="14" t="s">
        <v>427</v>
      </c>
      <c r="G16" s="14" t="s">
        <v>428</v>
      </c>
      <c r="H16" s="14" t="s">
        <v>429</v>
      </c>
      <c r="I16" s="14" t="s">
        <v>430</v>
      </c>
    </row>
    <row r="17" spans="1:9" x14ac:dyDescent="0.3">
      <c r="A17" t="s">
        <v>418</v>
      </c>
      <c r="B17">
        <v>92.791388119195261</v>
      </c>
      <c r="C17">
        <v>12.8118222626431</v>
      </c>
      <c r="D17">
        <v>7.2426377932011876</v>
      </c>
      <c r="E17">
        <v>5.5287237696712266E-12</v>
      </c>
      <c r="F17">
        <v>67.557534912108537</v>
      </c>
      <c r="G17">
        <v>118.02524132628199</v>
      </c>
      <c r="H17">
        <v>67.557534912108537</v>
      </c>
      <c r="I17">
        <v>118.02524132628199</v>
      </c>
    </row>
    <row r="18" spans="1:9" ht="15" thickBot="1" x14ac:dyDescent="0.35">
      <c r="A18" s="13" t="s">
        <v>431</v>
      </c>
      <c r="B18" s="13">
        <v>0.22238799106358567</v>
      </c>
      <c r="C18" s="13">
        <v>9.2893876883010148E-3</v>
      </c>
      <c r="D18" s="13">
        <v>23.940005361565373</v>
      </c>
      <c r="E18" s="13">
        <v>2.0274087953774173E-66</v>
      </c>
      <c r="F18" s="13">
        <v>0.20409183923561394</v>
      </c>
      <c r="G18" s="13">
        <v>0.2406841428915574</v>
      </c>
      <c r="H18" s="13">
        <v>0.20409183923561394</v>
      </c>
      <c r="I18" s="13">
        <v>0.2406841428915574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91E4-DF91-48C0-957C-40E32C3F6B4B}">
  <dimension ref="A1:T251"/>
  <sheetViews>
    <sheetView topLeftCell="D1" workbookViewId="0">
      <selection activeCell="R2" sqref="R2:T2"/>
    </sheetView>
  </sheetViews>
  <sheetFormatPr defaultRowHeight="14.4" x14ac:dyDescent="0.3"/>
  <cols>
    <col min="2" max="2" width="11.6640625" customWidth="1"/>
    <col min="3" max="3" width="10.5546875" customWidth="1"/>
    <col min="4" max="4" width="11.21875" customWidth="1"/>
    <col min="5" max="5" width="12.109375" customWidth="1"/>
    <col min="6" max="6" width="11.5546875" customWidth="1"/>
    <col min="7" max="7" width="11.21875" customWidth="1"/>
    <col min="13" max="13" width="11.5546875" customWidth="1"/>
    <col min="18" max="18" width="15.109375" customWidth="1"/>
    <col min="19" max="19" width="16.5546875" customWidth="1"/>
    <col min="20" max="20" width="29.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440</v>
      </c>
      <c r="P1" t="s">
        <v>441</v>
      </c>
    </row>
    <row r="2" spans="1:20" x14ac:dyDescent="0.3">
      <c r="A2" t="s">
        <v>14</v>
      </c>
      <c r="B2" s="3">
        <v>45393</v>
      </c>
      <c r="C2" t="s">
        <v>15</v>
      </c>
      <c r="D2" t="s">
        <v>16</v>
      </c>
      <c r="E2" t="s">
        <v>17</v>
      </c>
      <c r="F2" t="s">
        <v>18</v>
      </c>
      <c r="G2" t="s">
        <v>19</v>
      </c>
      <c r="H2">
        <v>3</v>
      </c>
      <c r="I2">
        <v>249.99</v>
      </c>
      <c r="J2" t="s">
        <v>20</v>
      </c>
      <c r="K2" t="s">
        <v>21</v>
      </c>
      <c r="L2" t="s">
        <v>22</v>
      </c>
      <c r="M2" s="3">
        <v>44425</v>
      </c>
      <c r="N2">
        <v>749.97</v>
      </c>
      <c r="O2">
        <v>8</v>
      </c>
      <c r="P2">
        <v>2021</v>
      </c>
      <c r="R2" s="8" t="s">
        <v>474</v>
      </c>
      <c r="S2" s="8" t="s">
        <v>475</v>
      </c>
      <c r="T2" s="8" t="s">
        <v>476</v>
      </c>
    </row>
    <row r="3" spans="1:20" x14ac:dyDescent="0.3">
      <c r="A3" t="s">
        <v>23</v>
      </c>
      <c r="B3" s="3">
        <v>45396</v>
      </c>
      <c r="C3" t="s">
        <v>24</v>
      </c>
      <c r="D3" t="s">
        <v>25</v>
      </c>
      <c r="E3" t="s">
        <v>17</v>
      </c>
      <c r="F3" t="s">
        <v>18</v>
      </c>
      <c r="G3" t="s">
        <v>19</v>
      </c>
      <c r="H3">
        <v>3</v>
      </c>
      <c r="I3">
        <v>249.99</v>
      </c>
      <c r="J3" t="s">
        <v>26</v>
      </c>
      <c r="K3" t="s">
        <v>21</v>
      </c>
      <c r="L3" t="s">
        <v>27</v>
      </c>
      <c r="M3" s="3">
        <v>44575</v>
      </c>
      <c r="N3">
        <v>749.97</v>
      </c>
      <c r="O3">
        <v>1</v>
      </c>
      <c r="P3">
        <v>2022</v>
      </c>
      <c r="R3" t="str" cm="1">
        <f t="array" ref="R3:R53">_xlfn.UNIQUE(D2:D501)</f>
        <v>Paul Baker</v>
      </c>
      <c r="S3">
        <f>SUMIF(D:D,R3,N:N)</f>
        <v>8309.739999999998</v>
      </c>
      <c r="T3" t="str">
        <f>IF(S3&gt;=5000,"High Value","Normal")</f>
        <v>High Value</v>
      </c>
    </row>
    <row r="4" spans="1:20" x14ac:dyDescent="0.3">
      <c r="A4" t="s">
        <v>28</v>
      </c>
      <c r="B4" s="3">
        <v>45399</v>
      </c>
      <c r="C4" t="s">
        <v>29</v>
      </c>
      <c r="D4" t="s">
        <v>30</v>
      </c>
      <c r="E4" t="s">
        <v>31</v>
      </c>
      <c r="F4" t="s">
        <v>32</v>
      </c>
      <c r="G4" t="s">
        <v>33</v>
      </c>
      <c r="H4">
        <v>3</v>
      </c>
      <c r="I4">
        <v>59.99</v>
      </c>
      <c r="J4" t="s">
        <v>34</v>
      </c>
      <c r="K4" t="s">
        <v>35</v>
      </c>
      <c r="L4" t="s">
        <v>36</v>
      </c>
      <c r="M4" s="3">
        <v>45262</v>
      </c>
      <c r="N4">
        <v>179.97</v>
      </c>
      <c r="O4">
        <v>12</v>
      </c>
      <c r="P4">
        <v>2023</v>
      </c>
      <c r="R4" t="str">
        <v>Joseph Jackson</v>
      </c>
      <c r="S4">
        <f t="shared" ref="S4:S52" si="0">SUMIF(D:D,R4,N:N)</f>
        <v>6949.84</v>
      </c>
      <c r="T4" t="str">
        <f t="shared" ref="T4:T52" si="1">IF(S4&gt;=5000,"High Value","Normal")</f>
        <v>High Value</v>
      </c>
    </row>
    <row r="5" spans="1:20" x14ac:dyDescent="0.3">
      <c r="A5" t="s">
        <v>37</v>
      </c>
      <c r="B5" s="3">
        <v>45400</v>
      </c>
      <c r="C5" t="s">
        <v>38</v>
      </c>
      <c r="D5" t="s">
        <v>39</v>
      </c>
      <c r="E5" t="s">
        <v>31</v>
      </c>
      <c r="F5" t="s">
        <v>32</v>
      </c>
      <c r="G5" t="s">
        <v>33</v>
      </c>
      <c r="H5">
        <v>3</v>
      </c>
      <c r="I5">
        <v>59.99</v>
      </c>
      <c r="J5" t="s">
        <v>20</v>
      </c>
      <c r="K5" t="s">
        <v>40</v>
      </c>
      <c r="L5" t="s">
        <v>27</v>
      </c>
      <c r="M5" s="3">
        <v>45114</v>
      </c>
      <c r="N5">
        <v>179.97</v>
      </c>
      <c r="O5">
        <v>7</v>
      </c>
      <c r="P5">
        <v>2023</v>
      </c>
      <c r="R5" t="str">
        <v>Kevin Scott</v>
      </c>
      <c r="S5">
        <f t="shared" si="0"/>
        <v>3259.87</v>
      </c>
      <c r="T5" t="str">
        <f t="shared" si="1"/>
        <v>Normal</v>
      </c>
    </row>
    <row r="6" spans="1:20" x14ac:dyDescent="0.3">
      <c r="A6" t="s">
        <v>41</v>
      </c>
      <c r="B6" s="3">
        <v>45400</v>
      </c>
      <c r="C6" t="s">
        <v>42</v>
      </c>
      <c r="D6" t="s">
        <v>43</v>
      </c>
      <c r="E6" t="s">
        <v>44</v>
      </c>
      <c r="F6" t="s">
        <v>45</v>
      </c>
      <c r="G6" t="s">
        <v>46</v>
      </c>
      <c r="H6">
        <v>5</v>
      </c>
      <c r="I6">
        <v>149.99</v>
      </c>
      <c r="J6" t="s">
        <v>26</v>
      </c>
      <c r="K6" t="s">
        <v>40</v>
      </c>
      <c r="L6" t="s">
        <v>27</v>
      </c>
      <c r="M6" s="3">
        <v>45295</v>
      </c>
      <c r="N6">
        <v>749.95</v>
      </c>
      <c r="O6">
        <v>1</v>
      </c>
      <c r="P6">
        <v>2024</v>
      </c>
      <c r="R6" t="str">
        <v>Kathleen Bennett</v>
      </c>
      <c r="S6">
        <f t="shared" si="0"/>
        <v>4309.8099999999995</v>
      </c>
      <c r="T6" t="str">
        <f t="shared" si="1"/>
        <v>Normal</v>
      </c>
    </row>
    <row r="7" spans="1:20" x14ac:dyDescent="0.3">
      <c r="A7" t="s">
        <v>47</v>
      </c>
      <c r="B7" s="3">
        <v>45403</v>
      </c>
      <c r="C7" t="s">
        <v>48</v>
      </c>
      <c r="D7" t="s">
        <v>49</v>
      </c>
      <c r="E7" t="s">
        <v>31</v>
      </c>
      <c r="F7" t="s">
        <v>32</v>
      </c>
      <c r="G7" t="s">
        <v>33</v>
      </c>
      <c r="H7">
        <v>2</v>
      </c>
      <c r="I7">
        <v>59.99</v>
      </c>
      <c r="J7" t="s">
        <v>20</v>
      </c>
      <c r="K7" t="s">
        <v>50</v>
      </c>
      <c r="L7" t="s">
        <v>36</v>
      </c>
      <c r="M7" s="3">
        <v>44746</v>
      </c>
      <c r="N7">
        <v>119.98</v>
      </c>
      <c r="O7">
        <v>7</v>
      </c>
      <c r="P7">
        <v>2022</v>
      </c>
      <c r="R7" t="str">
        <v>Michael Brown</v>
      </c>
      <c r="S7">
        <f t="shared" si="0"/>
        <v>6169.7400000000007</v>
      </c>
      <c r="T7" t="str">
        <f t="shared" si="1"/>
        <v>High Value</v>
      </c>
    </row>
    <row r="8" spans="1:20" x14ac:dyDescent="0.3">
      <c r="A8" t="s">
        <v>51</v>
      </c>
      <c r="B8" s="3">
        <v>45403</v>
      </c>
      <c r="C8" t="s">
        <v>48</v>
      </c>
      <c r="D8" t="s">
        <v>49</v>
      </c>
      <c r="E8" t="s">
        <v>52</v>
      </c>
      <c r="F8" t="s">
        <v>53</v>
      </c>
      <c r="G8" t="s">
        <v>19</v>
      </c>
      <c r="H8">
        <v>5</v>
      </c>
      <c r="I8">
        <v>149.99</v>
      </c>
      <c r="J8" t="s">
        <v>26</v>
      </c>
      <c r="K8" t="s">
        <v>21</v>
      </c>
      <c r="L8" t="s">
        <v>36</v>
      </c>
      <c r="M8" s="3">
        <v>44418</v>
      </c>
      <c r="N8">
        <v>749.95</v>
      </c>
      <c r="O8">
        <v>8</v>
      </c>
      <c r="P8">
        <v>2021</v>
      </c>
      <c r="R8" t="str">
        <v>Dorothy Nelson</v>
      </c>
      <c r="S8">
        <f t="shared" si="0"/>
        <v>8269.7900000000009</v>
      </c>
      <c r="T8" t="str">
        <f t="shared" si="1"/>
        <v>High Value</v>
      </c>
    </row>
    <row r="9" spans="1:20" x14ac:dyDescent="0.3">
      <c r="A9" t="s">
        <v>54</v>
      </c>
      <c r="B9" s="3">
        <v>45403</v>
      </c>
      <c r="C9" t="s">
        <v>55</v>
      </c>
      <c r="D9" t="s">
        <v>56</v>
      </c>
      <c r="E9" t="s">
        <v>31</v>
      </c>
      <c r="F9" t="s">
        <v>32</v>
      </c>
      <c r="G9" t="s">
        <v>33</v>
      </c>
      <c r="H9">
        <v>3</v>
      </c>
      <c r="I9">
        <v>59.99</v>
      </c>
      <c r="J9" t="s">
        <v>57</v>
      </c>
      <c r="K9" t="s">
        <v>35</v>
      </c>
      <c r="L9" t="s">
        <v>22</v>
      </c>
      <c r="M9" s="3">
        <v>45007</v>
      </c>
      <c r="N9">
        <v>179.97</v>
      </c>
      <c r="O9">
        <v>3</v>
      </c>
      <c r="P9">
        <v>2023</v>
      </c>
      <c r="R9" t="str">
        <v>Charles Allen</v>
      </c>
      <c r="S9">
        <f t="shared" si="0"/>
        <v>5089.7300000000005</v>
      </c>
      <c r="T9" t="str">
        <f t="shared" si="1"/>
        <v>High Value</v>
      </c>
    </row>
    <row r="10" spans="1:20" x14ac:dyDescent="0.3">
      <c r="A10" t="s">
        <v>58</v>
      </c>
      <c r="B10" s="3">
        <v>45405</v>
      </c>
      <c r="C10" t="s">
        <v>59</v>
      </c>
      <c r="D10" t="s">
        <v>60</v>
      </c>
      <c r="E10" t="s">
        <v>61</v>
      </c>
      <c r="F10" t="s">
        <v>62</v>
      </c>
      <c r="G10" t="s">
        <v>19</v>
      </c>
      <c r="H10">
        <v>3</v>
      </c>
      <c r="I10">
        <v>899.99</v>
      </c>
      <c r="J10" t="s">
        <v>34</v>
      </c>
      <c r="K10" t="s">
        <v>63</v>
      </c>
      <c r="L10" t="s">
        <v>36</v>
      </c>
      <c r="M10" s="3">
        <v>45299</v>
      </c>
      <c r="N10">
        <v>2699.97</v>
      </c>
      <c r="O10">
        <v>1</v>
      </c>
      <c r="P10">
        <v>2024</v>
      </c>
      <c r="R10" t="str">
        <v>Robert Thomas</v>
      </c>
      <c r="S10">
        <f t="shared" si="0"/>
        <v>3509.8999999999996</v>
      </c>
      <c r="T10" t="str">
        <f t="shared" si="1"/>
        <v>Normal</v>
      </c>
    </row>
    <row r="11" spans="1:20" x14ac:dyDescent="0.3">
      <c r="A11" t="s">
        <v>64</v>
      </c>
      <c r="B11" s="3">
        <v>45408</v>
      </c>
      <c r="C11" t="s">
        <v>65</v>
      </c>
      <c r="D11" t="s">
        <v>66</v>
      </c>
      <c r="E11" t="s">
        <v>31</v>
      </c>
      <c r="F11" t="s">
        <v>32</v>
      </c>
      <c r="G11" t="s">
        <v>33</v>
      </c>
      <c r="H11">
        <v>3</v>
      </c>
      <c r="I11">
        <v>59.99</v>
      </c>
      <c r="J11" t="s">
        <v>20</v>
      </c>
      <c r="K11" t="s">
        <v>50</v>
      </c>
      <c r="L11" t="s">
        <v>27</v>
      </c>
      <c r="M11" s="3">
        <v>45207</v>
      </c>
      <c r="N11">
        <v>179.97</v>
      </c>
      <c r="O11">
        <v>10</v>
      </c>
      <c r="P11">
        <v>2023</v>
      </c>
      <c r="R11" t="str">
        <v>Karen Hill</v>
      </c>
      <c r="S11">
        <f t="shared" si="0"/>
        <v>8009.7699999999995</v>
      </c>
      <c r="T11" t="str">
        <f t="shared" si="1"/>
        <v>High Value</v>
      </c>
    </row>
    <row r="12" spans="1:20" x14ac:dyDescent="0.3">
      <c r="A12" t="s">
        <v>67</v>
      </c>
      <c r="B12" s="3">
        <v>45408</v>
      </c>
      <c r="C12" t="s">
        <v>68</v>
      </c>
      <c r="D12" t="s">
        <v>69</v>
      </c>
      <c r="E12" t="s">
        <v>44</v>
      </c>
      <c r="F12" t="s">
        <v>45</v>
      </c>
      <c r="G12" t="s">
        <v>46</v>
      </c>
      <c r="H12">
        <v>1</v>
      </c>
      <c r="I12">
        <v>149.99</v>
      </c>
      <c r="J12" t="s">
        <v>26</v>
      </c>
      <c r="K12" t="s">
        <v>50</v>
      </c>
      <c r="L12" t="s">
        <v>36</v>
      </c>
      <c r="M12" s="3">
        <v>45103</v>
      </c>
      <c r="N12">
        <v>149.99</v>
      </c>
      <c r="O12">
        <v>6</v>
      </c>
      <c r="P12">
        <v>2023</v>
      </c>
      <c r="R12" t="str">
        <v>Susan Green</v>
      </c>
      <c r="S12">
        <f t="shared" si="0"/>
        <v>1979.89</v>
      </c>
      <c r="T12" t="str">
        <f t="shared" si="1"/>
        <v>Normal</v>
      </c>
    </row>
    <row r="13" spans="1:20" x14ac:dyDescent="0.3">
      <c r="A13" t="s">
        <v>70</v>
      </c>
      <c r="B13" s="3">
        <v>45408</v>
      </c>
      <c r="C13" t="s">
        <v>38</v>
      </c>
      <c r="D13" t="s">
        <v>39</v>
      </c>
      <c r="E13" t="s">
        <v>44</v>
      </c>
      <c r="F13" t="s">
        <v>45</v>
      </c>
      <c r="G13" t="s">
        <v>46</v>
      </c>
      <c r="H13">
        <v>5</v>
      </c>
      <c r="I13">
        <v>149.99</v>
      </c>
      <c r="J13" t="s">
        <v>57</v>
      </c>
      <c r="K13" t="s">
        <v>40</v>
      </c>
      <c r="L13" t="s">
        <v>22</v>
      </c>
      <c r="M13" s="3">
        <v>44830</v>
      </c>
      <c r="N13">
        <v>749.95</v>
      </c>
      <c r="O13">
        <v>9</v>
      </c>
      <c r="P13">
        <v>2022</v>
      </c>
      <c r="R13" t="str">
        <v>Peter Richardson</v>
      </c>
      <c r="S13">
        <f t="shared" si="0"/>
        <v>5949.85</v>
      </c>
      <c r="T13" t="str">
        <f t="shared" si="1"/>
        <v>High Value</v>
      </c>
    </row>
    <row r="14" spans="1:20" x14ac:dyDescent="0.3">
      <c r="A14" t="s">
        <v>71</v>
      </c>
      <c r="B14" s="3">
        <v>45408</v>
      </c>
      <c r="C14" t="s">
        <v>72</v>
      </c>
      <c r="D14" t="s">
        <v>73</v>
      </c>
      <c r="E14" t="s">
        <v>44</v>
      </c>
      <c r="F14" t="s">
        <v>45</v>
      </c>
      <c r="G14" t="s">
        <v>46</v>
      </c>
      <c r="H14">
        <v>3</v>
      </c>
      <c r="I14">
        <v>149.99</v>
      </c>
      <c r="J14" t="s">
        <v>20</v>
      </c>
      <c r="K14" t="s">
        <v>40</v>
      </c>
      <c r="L14" t="s">
        <v>27</v>
      </c>
      <c r="M14" s="3">
        <v>44806</v>
      </c>
      <c r="N14">
        <v>449.97</v>
      </c>
      <c r="O14">
        <v>9</v>
      </c>
      <c r="P14">
        <v>2022</v>
      </c>
      <c r="R14" t="str">
        <v>Dennis Gray</v>
      </c>
      <c r="S14">
        <f t="shared" si="0"/>
        <v>479.91999999999996</v>
      </c>
      <c r="T14" t="str">
        <f t="shared" si="1"/>
        <v>Normal</v>
      </c>
    </row>
    <row r="15" spans="1:20" x14ac:dyDescent="0.3">
      <c r="A15" t="s">
        <v>74</v>
      </c>
      <c r="B15" s="3">
        <v>45409</v>
      </c>
      <c r="C15" t="s">
        <v>75</v>
      </c>
      <c r="D15" t="s">
        <v>76</v>
      </c>
      <c r="E15" t="s">
        <v>31</v>
      </c>
      <c r="F15" t="s">
        <v>32</v>
      </c>
      <c r="G15" t="s">
        <v>33</v>
      </c>
      <c r="H15">
        <v>3</v>
      </c>
      <c r="I15">
        <v>59.99</v>
      </c>
      <c r="J15" t="s">
        <v>26</v>
      </c>
      <c r="K15" t="s">
        <v>40</v>
      </c>
      <c r="L15" t="s">
        <v>36</v>
      </c>
      <c r="M15" s="3">
        <v>45351</v>
      </c>
      <c r="N15">
        <v>179.97</v>
      </c>
      <c r="O15">
        <v>2</v>
      </c>
      <c r="P15">
        <v>2024</v>
      </c>
      <c r="R15" t="str">
        <v>Michelle Rogers</v>
      </c>
      <c r="S15">
        <f t="shared" si="0"/>
        <v>4199.9399999999996</v>
      </c>
      <c r="T15" t="str">
        <f t="shared" si="1"/>
        <v>Normal</v>
      </c>
    </row>
    <row r="16" spans="1:20" x14ac:dyDescent="0.3">
      <c r="A16" t="s">
        <v>77</v>
      </c>
      <c r="B16" s="3">
        <v>45409</v>
      </c>
      <c r="C16" t="s">
        <v>78</v>
      </c>
      <c r="D16" t="s">
        <v>79</v>
      </c>
      <c r="E16" t="s">
        <v>80</v>
      </c>
      <c r="F16" t="s">
        <v>81</v>
      </c>
      <c r="G16" t="s">
        <v>19</v>
      </c>
      <c r="H16">
        <v>3</v>
      </c>
      <c r="I16">
        <v>699.99</v>
      </c>
      <c r="J16" t="s">
        <v>26</v>
      </c>
      <c r="K16" t="s">
        <v>50</v>
      </c>
      <c r="L16" t="s">
        <v>22</v>
      </c>
      <c r="M16" s="3">
        <v>44577</v>
      </c>
      <c r="N16">
        <v>2099.9699999999998</v>
      </c>
      <c r="O16">
        <v>1</v>
      </c>
      <c r="P16">
        <v>2022</v>
      </c>
      <c r="R16" t="str">
        <v>George Adams</v>
      </c>
      <c r="S16">
        <f t="shared" si="0"/>
        <v>3779.93</v>
      </c>
      <c r="T16" t="str">
        <f t="shared" si="1"/>
        <v>Normal</v>
      </c>
    </row>
    <row r="17" spans="1:20" x14ac:dyDescent="0.3">
      <c r="A17" t="s">
        <v>82</v>
      </c>
      <c r="B17" s="3">
        <v>45409</v>
      </c>
      <c r="C17" t="s">
        <v>83</v>
      </c>
      <c r="D17" t="s">
        <v>84</v>
      </c>
      <c r="E17" t="s">
        <v>61</v>
      </c>
      <c r="F17" t="s">
        <v>62</v>
      </c>
      <c r="G17" t="s">
        <v>19</v>
      </c>
      <c r="H17">
        <v>1</v>
      </c>
      <c r="I17">
        <v>899.99</v>
      </c>
      <c r="J17" t="s">
        <v>57</v>
      </c>
      <c r="K17" t="s">
        <v>40</v>
      </c>
      <c r="L17" t="s">
        <v>36</v>
      </c>
      <c r="M17" s="3">
        <v>44920</v>
      </c>
      <c r="N17">
        <v>899.99</v>
      </c>
      <c r="O17">
        <v>12</v>
      </c>
      <c r="P17">
        <v>2022</v>
      </c>
      <c r="R17" t="str">
        <v>Mark Carter</v>
      </c>
      <c r="S17">
        <f t="shared" si="0"/>
        <v>15659.65</v>
      </c>
      <c r="T17" t="str">
        <f t="shared" si="1"/>
        <v>High Value</v>
      </c>
    </row>
    <row r="18" spans="1:20" x14ac:dyDescent="0.3">
      <c r="A18" t="s">
        <v>85</v>
      </c>
      <c r="B18" s="3">
        <v>45410</v>
      </c>
      <c r="C18" t="s">
        <v>86</v>
      </c>
      <c r="D18" t="s">
        <v>87</v>
      </c>
      <c r="E18" t="s">
        <v>44</v>
      </c>
      <c r="F18" t="s">
        <v>45</v>
      </c>
      <c r="G18" t="s">
        <v>46</v>
      </c>
      <c r="H18">
        <v>4</v>
      </c>
      <c r="I18">
        <v>149.99</v>
      </c>
      <c r="J18" t="s">
        <v>57</v>
      </c>
      <c r="K18" t="s">
        <v>40</v>
      </c>
      <c r="L18" t="s">
        <v>27</v>
      </c>
      <c r="M18" s="3">
        <v>45374</v>
      </c>
      <c r="N18">
        <v>599.96</v>
      </c>
      <c r="O18">
        <v>3</v>
      </c>
      <c r="P18">
        <v>2024</v>
      </c>
      <c r="R18" t="str">
        <v>Maria Garcia</v>
      </c>
      <c r="S18">
        <f t="shared" si="0"/>
        <v>1909.93</v>
      </c>
      <c r="T18" t="str">
        <f t="shared" si="1"/>
        <v>Normal</v>
      </c>
    </row>
    <row r="19" spans="1:20" x14ac:dyDescent="0.3">
      <c r="A19" t="s">
        <v>88</v>
      </c>
      <c r="B19" s="3">
        <v>45410</v>
      </c>
      <c r="C19" t="s">
        <v>89</v>
      </c>
      <c r="D19" t="s">
        <v>90</v>
      </c>
      <c r="E19" t="s">
        <v>80</v>
      </c>
      <c r="F19" t="s">
        <v>81</v>
      </c>
      <c r="G19" t="s">
        <v>19</v>
      </c>
      <c r="H19">
        <v>2</v>
      </c>
      <c r="I19">
        <v>699.99</v>
      </c>
      <c r="J19" t="s">
        <v>20</v>
      </c>
      <c r="K19" t="s">
        <v>40</v>
      </c>
      <c r="L19" t="s">
        <v>22</v>
      </c>
      <c r="M19" s="3">
        <v>44781</v>
      </c>
      <c r="N19">
        <v>1399.98</v>
      </c>
      <c r="O19">
        <v>8</v>
      </c>
      <c r="P19">
        <v>2022</v>
      </c>
      <c r="R19" t="str">
        <v>Virginia Sanders</v>
      </c>
      <c r="S19">
        <f t="shared" si="0"/>
        <v>4789.7900000000009</v>
      </c>
      <c r="T19" t="str">
        <f t="shared" si="1"/>
        <v>Normal</v>
      </c>
    </row>
    <row r="20" spans="1:20" x14ac:dyDescent="0.3">
      <c r="A20" t="s">
        <v>91</v>
      </c>
      <c r="B20" s="3">
        <v>45410</v>
      </c>
      <c r="C20" t="s">
        <v>86</v>
      </c>
      <c r="D20" t="s">
        <v>87</v>
      </c>
      <c r="E20" t="s">
        <v>61</v>
      </c>
      <c r="F20" t="s">
        <v>62</v>
      </c>
      <c r="G20" t="s">
        <v>19</v>
      </c>
      <c r="H20">
        <v>4</v>
      </c>
      <c r="I20">
        <v>899.99</v>
      </c>
      <c r="J20" t="s">
        <v>26</v>
      </c>
      <c r="K20" t="s">
        <v>50</v>
      </c>
      <c r="L20" t="s">
        <v>36</v>
      </c>
      <c r="M20" s="3">
        <v>45327</v>
      </c>
      <c r="N20">
        <v>3599.96</v>
      </c>
      <c r="O20">
        <v>2</v>
      </c>
      <c r="P20">
        <v>2024</v>
      </c>
      <c r="R20" t="str">
        <v>Barbara Young</v>
      </c>
      <c r="S20">
        <f t="shared" si="0"/>
        <v>10649.8</v>
      </c>
      <c r="T20" t="str">
        <f t="shared" si="1"/>
        <v>High Value</v>
      </c>
    </row>
    <row r="21" spans="1:20" x14ac:dyDescent="0.3">
      <c r="A21" t="s">
        <v>92</v>
      </c>
      <c r="B21" s="3">
        <v>45410</v>
      </c>
      <c r="C21" t="s">
        <v>93</v>
      </c>
      <c r="D21" t="s">
        <v>94</v>
      </c>
      <c r="E21" t="s">
        <v>17</v>
      </c>
      <c r="F21" t="s">
        <v>18</v>
      </c>
      <c r="G21" t="s">
        <v>19</v>
      </c>
      <c r="H21">
        <v>3</v>
      </c>
      <c r="I21">
        <v>249.99</v>
      </c>
      <c r="J21" t="s">
        <v>26</v>
      </c>
      <c r="K21" t="s">
        <v>40</v>
      </c>
      <c r="L21" t="s">
        <v>27</v>
      </c>
      <c r="M21" s="3">
        <v>45224</v>
      </c>
      <c r="N21">
        <v>749.97</v>
      </c>
      <c r="O21">
        <v>10</v>
      </c>
      <c r="P21">
        <v>2023</v>
      </c>
      <c r="R21" t="str">
        <v>Patricia Moore</v>
      </c>
      <c r="S21">
        <f t="shared" si="0"/>
        <v>9799.73</v>
      </c>
      <c r="T21" t="str">
        <f t="shared" si="1"/>
        <v>High Value</v>
      </c>
    </row>
    <row r="22" spans="1:20" x14ac:dyDescent="0.3">
      <c r="A22" t="s">
        <v>95</v>
      </c>
      <c r="B22" s="3">
        <v>45412</v>
      </c>
      <c r="C22" t="s">
        <v>96</v>
      </c>
      <c r="D22" t="s">
        <v>97</v>
      </c>
      <c r="E22" t="s">
        <v>80</v>
      </c>
      <c r="F22" t="s">
        <v>81</v>
      </c>
      <c r="G22" t="s">
        <v>19</v>
      </c>
      <c r="H22">
        <v>5</v>
      </c>
      <c r="I22">
        <v>699.99</v>
      </c>
      <c r="J22" t="s">
        <v>20</v>
      </c>
      <c r="K22" t="s">
        <v>50</v>
      </c>
      <c r="L22" t="s">
        <v>22</v>
      </c>
      <c r="M22" s="3">
        <v>45167</v>
      </c>
      <c r="N22">
        <v>3499.95</v>
      </c>
      <c r="O22">
        <v>8</v>
      </c>
      <c r="P22">
        <v>2023</v>
      </c>
      <c r="R22" t="str">
        <v>Cynthia Price</v>
      </c>
      <c r="S22">
        <f t="shared" si="0"/>
        <v>3769.8300000000004</v>
      </c>
      <c r="T22" t="str">
        <f t="shared" si="1"/>
        <v>Normal</v>
      </c>
    </row>
    <row r="23" spans="1:20" x14ac:dyDescent="0.3">
      <c r="A23" t="s">
        <v>98</v>
      </c>
      <c r="B23" s="3">
        <v>45413</v>
      </c>
      <c r="C23" t="s">
        <v>99</v>
      </c>
      <c r="D23" t="s">
        <v>100</v>
      </c>
      <c r="E23" t="s">
        <v>80</v>
      </c>
      <c r="F23" t="s">
        <v>81</v>
      </c>
      <c r="G23" t="s">
        <v>19</v>
      </c>
      <c r="H23">
        <v>4</v>
      </c>
      <c r="I23">
        <v>699.99</v>
      </c>
      <c r="J23" t="s">
        <v>20</v>
      </c>
      <c r="K23" t="s">
        <v>63</v>
      </c>
      <c r="L23" t="s">
        <v>36</v>
      </c>
      <c r="M23" s="3">
        <v>44409</v>
      </c>
      <c r="N23">
        <v>2799.96</v>
      </c>
      <c r="O23">
        <v>8</v>
      </c>
      <c r="P23">
        <v>2021</v>
      </c>
      <c r="R23" t="str">
        <v>Nancy Collins</v>
      </c>
      <c r="S23">
        <f t="shared" si="0"/>
        <v>4189.7700000000004</v>
      </c>
      <c r="T23" t="str">
        <f t="shared" si="1"/>
        <v>Normal</v>
      </c>
    </row>
    <row r="24" spans="1:20" x14ac:dyDescent="0.3">
      <c r="A24" t="s">
        <v>101</v>
      </c>
      <c r="B24" s="3">
        <v>45415</v>
      </c>
      <c r="C24" t="s">
        <v>102</v>
      </c>
      <c r="D24" t="s">
        <v>103</v>
      </c>
      <c r="E24" t="s">
        <v>17</v>
      </c>
      <c r="F24" t="s">
        <v>18</v>
      </c>
      <c r="G24" t="s">
        <v>19</v>
      </c>
      <c r="H24">
        <v>4</v>
      </c>
      <c r="I24">
        <v>249.99</v>
      </c>
      <c r="J24" t="s">
        <v>34</v>
      </c>
      <c r="K24" t="s">
        <v>40</v>
      </c>
      <c r="L24" t="s">
        <v>36</v>
      </c>
      <c r="M24" s="3">
        <v>44468</v>
      </c>
      <c r="N24">
        <v>999.96</v>
      </c>
      <c r="O24">
        <v>9</v>
      </c>
      <c r="P24">
        <v>2021</v>
      </c>
      <c r="R24" t="str">
        <v>Linda Martin</v>
      </c>
      <c r="S24">
        <f t="shared" si="0"/>
        <v>1289.9000000000001</v>
      </c>
      <c r="T24" t="str">
        <f t="shared" si="1"/>
        <v>Normal</v>
      </c>
    </row>
    <row r="25" spans="1:20" x14ac:dyDescent="0.3">
      <c r="A25" t="s">
        <v>104</v>
      </c>
      <c r="B25" s="3">
        <v>45416</v>
      </c>
      <c r="C25" t="s">
        <v>86</v>
      </c>
      <c r="D25" t="s">
        <v>87</v>
      </c>
      <c r="E25" t="s">
        <v>105</v>
      </c>
      <c r="F25" t="s">
        <v>106</v>
      </c>
      <c r="G25" t="s">
        <v>46</v>
      </c>
      <c r="H25">
        <v>4</v>
      </c>
      <c r="I25">
        <v>299.99</v>
      </c>
      <c r="J25" t="s">
        <v>20</v>
      </c>
      <c r="K25" t="s">
        <v>50</v>
      </c>
      <c r="L25" t="s">
        <v>27</v>
      </c>
      <c r="M25" s="3">
        <v>44716</v>
      </c>
      <c r="N25">
        <v>1199.96</v>
      </c>
      <c r="O25">
        <v>6</v>
      </c>
      <c r="P25">
        <v>2022</v>
      </c>
      <c r="R25" t="str">
        <v>Helen Roberts</v>
      </c>
      <c r="S25">
        <f t="shared" si="0"/>
        <v>6459.79</v>
      </c>
      <c r="T25" t="str">
        <f t="shared" si="1"/>
        <v>High Value</v>
      </c>
    </row>
    <row r="26" spans="1:20" x14ac:dyDescent="0.3">
      <c r="A26" t="s">
        <v>107</v>
      </c>
      <c r="B26" s="3">
        <v>45422</v>
      </c>
      <c r="C26" t="s">
        <v>108</v>
      </c>
      <c r="D26" t="s">
        <v>109</v>
      </c>
      <c r="E26" t="s">
        <v>17</v>
      </c>
      <c r="F26" t="s">
        <v>18</v>
      </c>
      <c r="G26" t="s">
        <v>19</v>
      </c>
      <c r="H26">
        <v>5</v>
      </c>
      <c r="I26">
        <v>249.99</v>
      </c>
      <c r="J26" t="s">
        <v>26</v>
      </c>
      <c r="K26" t="s">
        <v>50</v>
      </c>
      <c r="L26" t="s">
        <v>36</v>
      </c>
      <c r="M26" s="3">
        <v>44525</v>
      </c>
      <c r="N26">
        <v>1249.95</v>
      </c>
      <c r="O26">
        <v>11</v>
      </c>
      <c r="P26">
        <v>2021</v>
      </c>
      <c r="R26" t="str">
        <v>Edward Mitchell</v>
      </c>
      <c r="S26">
        <f t="shared" si="0"/>
        <v>11919.769999999999</v>
      </c>
      <c r="T26" t="str">
        <f t="shared" si="1"/>
        <v>High Value</v>
      </c>
    </row>
    <row r="27" spans="1:20" x14ac:dyDescent="0.3">
      <c r="A27" t="s">
        <v>110</v>
      </c>
      <c r="B27" s="3">
        <v>45424</v>
      </c>
      <c r="C27" t="s">
        <v>68</v>
      </c>
      <c r="D27" t="s">
        <v>69</v>
      </c>
      <c r="E27" t="s">
        <v>105</v>
      </c>
      <c r="F27" t="s">
        <v>106</v>
      </c>
      <c r="G27" t="s">
        <v>46</v>
      </c>
      <c r="H27">
        <v>5</v>
      </c>
      <c r="I27">
        <v>299.99</v>
      </c>
      <c r="J27" t="s">
        <v>34</v>
      </c>
      <c r="K27" t="s">
        <v>63</v>
      </c>
      <c r="L27" t="s">
        <v>22</v>
      </c>
      <c r="M27" s="3">
        <v>45168</v>
      </c>
      <c r="N27">
        <v>1499.95</v>
      </c>
      <c r="O27">
        <v>8</v>
      </c>
      <c r="P27">
        <v>2023</v>
      </c>
      <c r="R27" t="str">
        <v>Lisa Anderson</v>
      </c>
      <c r="S27">
        <f t="shared" si="0"/>
        <v>2039.8000000000002</v>
      </c>
      <c r="T27" t="str">
        <f t="shared" si="1"/>
        <v>Normal</v>
      </c>
    </row>
    <row r="28" spans="1:20" x14ac:dyDescent="0.3">
      <c r="A28" t="s">
        <v>111</v>
      </c>
      <c r="B28" s="3">
        <v>45424</v>
      </c>
      <c r="C28" t="s">
        <v>112</v>
      </c>
      <c r="D28" t="s">
        <v>113</v>
      </c>
      <c r="E28" t="s">
        <v>114</v>
      </c>
      <c r="F28" t="s">
        <v>115</v>
      </c>
      <c r="G28" t="s">
        <v>33</v>
      </c>
      <c r="H28">
        <v>3</v>
      </c>
      <c r="I28">
        <v>79.989999999999995</v>
      </c>
      <c r="J28" t="s">
        <v>34</v>
      </c>
      <c r="K28" t="s">
        <v>63</v>
      </c>
      <c r="L28" t="s">
        <v>27</v>
      </c>
      <c r="M28" s="3">
        <v>45012</v>
      </c>
      <c r="N28">
        <v>239.97</v>
      </c>
      <c r="O28">
        <v>3</v>
      </c>
      <c r="P28">
        <v>2023</v>
      </c>
      <c r="R28" t="str">
        <v>Emma Wilson</v>
      </c>
      <c r="S28">
        <f t="shared" si="0"/>
        <v>1229.8800000000001</v>
      </c>
      <c r="T28" t="str">
        <f t="shared" si="1"/>
        <v>Normal</v>
      </c>
    </row>
    <row r="29" spans="1:20" x14ac:dyDescent="0.3">
      <c r="A29" t="s">
        <v>116</v>
      </c>
      <c r="B29" s="3">
        <v>45424</v>
      </c>
      <c r="C29" t="s">
        <v>99</v>
      </c>
      <c r="D29" t="s">
        <v>100</v>
      </c>
      <c r="E29" t="s">
        <v>117</v>
      </c>
      <c r="F29" t="s">
        <v>118</v>
      </c>
      <c r="G29" t="s">
        <v>19</v>
      </c>
      <c r="H29">
        <v>5</v>
      </c>
      <c r="I29">
        <v>89.99</v>
      </c>
      <c r="J29" t="s">
        <v>20</v>
      </c>
      <c r="K29" t="s">
        <v>40</v>
      </c>
      <c r="L29" t="s">
        <v>27</v>
      </c>
      <c r="M29" s="3">
        <v>44919</v>
      </c>
      <c r="N29">
        <v>449.95</v>
      </c>
      <c r="O29">
        <v>12</v>
      </c>
      <c r="P29">
        <v>2022</v>
      </c>
      <c r="R29" t="str">
        <v>Steven Turner</v>
      </c>
      <c r="S29">
        <f t="shared" si="0"/>
        <v>2649.83</v>
      </c>
      <c r="T29" t="str">
        <f t="shared" si="1"/>
        <v>Normal</v>
      </c>
    </row>
    <row r="30" spans="1:20" x14ac:dyDescent="0.3">
      <c r="A30" t="s">
        <v>119</v>
      </c>
      <c r="B30" s="3">
        <v>45425</v>
      </c>
      <c r="C30" t="s">
        <v>120</v>
      </c>
      <c r="D30" t="s">
        <v>121</v>
      </c>
      <c r="E30" t="s">
        <v>31</v>
      </c>
      <c r="F30" t="s">
        <v>32</v>
      </c>
      <c r="G30" t="s">
        <v>33</v>
      </c>
      <c r="H30">
        <v>2</v>
      </c>
      <c r="I30">
        <v>59.99</v>
      </c>
      <c r="J30" t="s">
        <v>57</v>
      </c>
      <c r="K30" t="s">
        <v>21</v>
      </c>
      <c r="L30" t="s">
        <v>36</v>
      </c>
      <c r="M30" s="3">
        <v>45214</v>
      </c>
      <c r="N30">
        <v>119.98</v>
      </c>
      <c r="O30">
        <v>10</v>
      </c>
      <c r="P30">
        <v>2023</v>
      </c>
      <c r="R30" t="str">
        <v>Jennifer Taylor</v>
      </c>
      <c r="S30">
        <f t="shared" si="0"/>
        <v>4739.8500000000004</v>
      </c>
      <c r="T30" t="str">
        <f t="shared" si="1"/>
        <v>Normal</v>
      </c>
    </row>
    <row r="31" spans="1:20" x14ac:dyDescent="0.3">
      <c r="A31" t="s">
        <v>122</v>
      </c>
      <c r="B31" s="3">
        <v>45427</v>
      </c>
      <c r="C31" t="s">
        <v>123</v>
      </c>
      <c r="D31" t="s">
        <v>124</v>
      </c>
      <c r="E31" t="s">
        <v>31</v>
      </c>
      <c r="F31" t="s">
        <v>32</v>
      </c>
      <c r="G31" t="s">
        <v>33</v>
      </c>
      <c r="H31">
        <v>4</v>
      </c>
      <c r="I31">
        <v>59.99</v>
      </c>
      <c r="J31" t="s">
        <v>57</v>
      </c>
      <c r="K31" t="s">
        <v>63</v>
      </c>
      <c r="L31" t="s">
        <v>36</v>
      </c>
      <c r="M31" s="3">
        <v>44867</v>
      </c>
      <c r="N31">
        <v>239.96</v>
      </c>
      <c r="O31">
        <v>11</v>
      </c>
      <c r="P31">
        <v>2022</v>
      </c>
      <c r="R31" t="str">
        <v>Harry Morgan</v>
      </c>
      <c r="S31">
        <f t="shared" si="0"/>
        <v>5519.8899999999994</v>
      </c>
      <c r="T31" t="str">
        <f t="shared" si="1"/>
        <v>High Value</v>
      </c>
    </row>
    <row r="32" spans="1:20" x14ac:dyDescent="0.3">
      <c r="A32" t="s">
        <v>125</v>
      </c>
      <c r="B32" s="3">
        <v>45427</v>
      </c>
      <c r="C32" t="s">
        <v>55</v>
      </c>
      <c r="D32" t="s">
        <v>56</v>
      </c>
      <c r="E32" t="s">
        <v>126</v>
      </c>
      <c r="F32" t="s">
        <v>127</v>
      </c>
      <c r="G32" t="s">
        <v>46</v>
      </c>
      <c r="H32">
        <v>5</v>
      </c>
      <c r="I32">
        <v>199.99</v>
      </c>
      <c r="J32" t="s">
        <v>20</v>
      </c>
      <c r="K32" t="s">
        <v>35</v>
      </c>
      <c r="L32" t="s">
        <v>36</v>
      </c>
      <c r="M32" s="3">
        <v>44412</v>
      </c>
      <c r="N32">
        <v>999.95</v>
      </c>
      <c r="O32">
        <v>8</v>
      </c>
      <c r="P32">
        <v>2021</v>
      </c>
      <c r="R32" t="str">
        <v>Daniel King</v>
      </c>
      <c r="S32">
        <f t="shared" si="0"/>
        <v>7309.7999999999993</v>
      </c>
      <c r="T32" t="str">
        <f t="shared" si="1"/>
        <v>High Value</v>
      </c>
    </row>
    <row r="33" spans="1:20" x14ac:dyDescent="0.3">
      <c r="A33" t="s">
        <v>128</v>
      </c>
      <c r="B33" s="3">
        <v>45428</v>
      </c>
      <c r="C33" t="s">
        <v>129</v>
      </c>
      <c r="D33" t="s">
        <v>130</v>
      </c>
      <c r="E33" t="s">
        <v>44</v>
      </c>
      <c r="F33" t="s">
        <v>45</v>
      </c>
      <c r="G33" t="s">
        <v>46</v>
      </c>
      <c r="H33">
        <v>2</v>
      </c>
      <c r="I33">
        <v>149.99</v>
      </c>
      <c r="J33" t="s">
        <v>26</v>
      </c>
      <c r="K33" t="s">
        <v>50</v>
      </c>
      <c r="L33" t="s">
        <v>22</v>
      </c>
      <c r="M33" s="3">
        <v>44823</v>
      </c>
      <c r="N33">
        <v>299.98</v>
      </c>
      <c r="O33">
        <v>9</v>
      </c>
      <c r="P33">
        <v>2022</v>
      </c>
      <c r="R33" t="str">
        <v>Sharon Butler</v>
      </c>
      <c r="S33">
        <f t="shared" si="0"/>
        <v>5619.869999999999</v>
      </c>
      <c r="T33" t="str">
        <f t="shared" si="1"/>
        <v>High Value</v>
      </c>
    </row>
    <row r="34" spans="1:20" x14ac:dyDescent="0.3">
      <c r="A34" t="s">
        <v>131</v>
      </c>
      <c r="B34" s="3">
        <v>45430</v>
      </c>
      <c r="C34" t="s">
        <v>132</v>
      </c>
      <c r="D34" t="s">
        <v>133</v>
      </c>
      <c r="E34" t="s">
        <v>44</v>
      </c>
      <c r="F34" t="s">
        <v>45</v>
      </c>
      <c r="G34" t="s">
        <v>46</v>
      </c>
      <c r="H34">
        <v>3</v>
      </c>
      <c r="I34">
        <v>149.99</v>
      </c>
      <c r="J34" t="s">
        <v>26</v>
      </c>
      <c r="K34" t="s">
        <v>50</v>
      </c>
      <c r="L34" t="s">
        <v>27</v>
      </c>
      <c r="M34" s="3">
        <v>45068</v>
      </c>
      <c r="N34">
        <v>449.97</v>
      </c>
      <c r="O34">
        <v>5</v>
      </c>
      <c r="P34">
        <v>2023</v>
      </c>
      <c r="R34" t="str">
        <v>Sarah Davis</v>
      </c>
      <c r="S34">
        <f t="shared" si="0"/>
        <v>5499.8099999999995</v>
      </c>
      <c r="T34" t="str">
        <f t="shared" si="1"/>
        <v>High Value</v>
      </c>
    </row>
    <row r="35" spans="1:20" x14ac:dyDescent="0.3">
      <c r="A35" t="s">
        <v>134</v>
      </c>
      <c r="B35" s="3">
        <v>45432</v>
      </c>
      <c r="C35" t="s">
        <v>29</v>
      </c>
      <c r="D35" t="s">
        <v>30</v>
      </c>
      <c r="E35" t="s">
        <v>61</v>
      </c>
      <c r="F35" t="s">
        <v>62</v>
      </c>
      <c r="G35" t="s">
        <v>19</v>
      </c>
      <c r="H35">
        <v>1</v>
      </c>
      <c r="I35">
        <v>899.99</v>
      </c>
      <c r="J35" t="s">
        <v>26</v>
      </c>
      <c r="K35" t="s">
        <v>50</v>
      </c>
      <c r="L35" t="s">
        <v>27</v>
      </c>
      <c r="M35" s="3">
        <v>44578</v>
      </c>
      <c r="N35">
        <v>899.99</v>
      </c>
      <c r="O35">
        <v>1</v>
      </c>
      <c r="P35">
        <v>2022</v>
      </c>
      <c r="R35" t="str">
        <v>Betty Campbell</v>
      </c>
      <c r="S35">
        <f t="shared" si="0"/>
        <v>5649.84</v>
      </c>
      <c r="T35" t="str">
        <f t="shared" si="1"/>
        <v>High Value</v>
      </c>
    </row>
    <row r="36" spans="1:20" x14ac:dyDescent="0.3">
      <c r="A36" t="s">
        <v>135</v>
      </c>
      <c r="B36" s="3">
        <v>45434</v>
      </c>
      <c r="C36" t="s">
        <v>99</v>
      </c>
      <c r="D36" t="s">
        <v>100</v>
      </c>
      <c r="E36" t="s">
        <v>105</v>
      </c>
      <c r="F36" t="s">
        <v>106</v>
      </c>
      <c r="G36" t="s">
        <v>46</v>
      </c>
      <c r="H36">
        <v>3</v>
      </c>
      <c r="I36">
        <v>299.99</v>
      </c>
      <c r="J36" t="s">
        <v>26</v>
      </c>
      <c r="K36" t="s">
        <v>63</v>
      </c>
      <c r="L36" t="s">
        <v>22</v>
      </c>
      <c r="M36" s="3">
        <v>44824</v>
      </c>
      <c r="N36">
        <v>899.97</v>
      </c>
      <c r="O36">
        <v>9</v>
      </c>
      <c r="P36">
        <v>2022</v>
      </c>
      <c r="R36" t="str">
        <v>Julie Foster</v>
      </c>
      <c r="S36">
        <f t="shared" si="0"/>
        <v>239.96</v>
      </c>
      <c r="T36" t="str">
        <f t="shared" si="1"/>
        <v>Normal</v>
      </c>
    </row>
    <row r="37" spans="1:20" x14ac:dyDescent="0.3">
      <c r="A37" t="s">
        <v>136</v>
      </c>
      <c r="B37" s="3">
        <v>45435</v>
      </c>
      <c r="C37" t="s">
        <v>129</v>
      </c>
      <c r="D37" t="s">
        <v>130</v>
      </c>
      <c r="E37" t="s">
        <v>114</v>
      </c>
      <c r="F37" t="s">
        <v>115</v>
      </c>
      <c r="G37" t="s">
        <v>33</v>
      </c>
      <c r="H37">
        <v>3</v>
      </c>
      <c r="I37">
        <v>79.989999999999995</v>
      </c>
      <c r="J37" t="s">
        <v>20</v>
      </c>
      <c r="K37" t="s">
        <v>35</v>
      </c>
      <c r="L37" t="s">
        <v>22</v>
      </c>
      <c r="M37" s="3">
        <v>45046</v>
      </c>
      <c r="N37">
        <v>239.97</v>
      </c>
      <c r="O37">
        <v>4</v>
      </c>
      <c r="P37">
        <v>2023</v>
      </c>
      <c r="R37" t="str">
        <v>Raymond Ross</v>
      </c>
      <c r="S37">
        <f t="shared" si="0"/>
        <v>3669.8500000000004</v>
      </c>
      <c r="T37" t="str">
        <f t="shared" si="1"/>
        <v>Normal</v>
      </c>
    </row>
    <row r="38" spans="1:20" x14ac:dyDescent="0.3">
      <c r="A38" t="s">
        <v>137</v>
      </c>
      <c r="B38" s="3">
        <v>45438</v>
      </c>
      <c r="C38" t="s">
        <v>138</v>
      </c>
      <c r="D38" t="s">
        <v>139</v>
      </c>
      <c r="E38" t="s">
        <v>126</v>
      </c>
      <c r="F38" t="s">
        <v>127</v>
      </c>
      <c r="G38" t="s">
        <v>46</v>
      </c>
      <c r="H38">
        <v>3</v>
      </c>
      <c r="I38">
        <v>199.99</v>
      </c>
      <c r="J38" t="s">
        <v>26</v>
      </c>
      <c r="K38" t="s">
        <v>40</v>
      </c>
      <c r="L38" t="s">
        <v>27</v>
      </c>
      <c r="M38" s="3">
        <v>45292</v>
      </c>
      <c r="N38">
        <v>599.97</v>
      </c>
      <c r="O38">
        <v>1</v>
      </c>
      <c r="P38">
        <v>2024</v>
      </c>
      <c r="R38" t="str">
        <v>David Martinez</v>
      </c>
      <c r="S38">
        <f t="shared" si="0"/>
        <v>1809.84</v>
      </c>
      <c r="T38" t="str">
        <f t="shared" si="1"/>
        <v>Normal</v>
      </c>
    </row>
    <row r="39" spans="1:20" x14ac:dyDescent="0.3">
      <c r="A39" t="s">
        <v>140</v>
      </c>
      <c r="B39" s="3">
        <v>45440</v>
      </c>
      <c r="C39" t="s">
        <v>141</v>
      </c>
      <c r="D39" t="s">
        <v>142</v>
      </c>
      <c r="E39" t="s">
        <v>80</v>
      </c>
      <c r="F39" t="s">
        <v>81</v>
      </c>
      <c r="G39" t="s">
        <v>19</v>
      </c>
      <c r="H39">
        <v>5</v>
      </c>
      <c r="I39">
        <v>699.99</v>
      </c>
      <c r="J39" t="s">
        <v>34</v>
      </c>
      <c r="K39" t="s">
        <v>50</v>
      </c>
      <c r="L39" t="s">
        <v>36</v>
      </c>
      <c r="M39" s="3">
        <v>44407</v>
      </c>
      <c r="N39">
        <v>3499.95</v>
      </c>
      <c r="O39">
        <v>7</v>
      </c>
      <c r="P39">
        <v>2021</v>
      </c>
      <c r="R39" t="str">
        <v>Margaret Wright</v>
      </c>
      <c r="S39">
        <f t="shared" si="0"/>
        <v>2099.88</v>
      </c>
      <c r="T39" t="str">
        <f t="shared" si="1"/>
        <v>Normal</v>
      </c>
    </row>
    <row r="40" spans="1:20" x14ac:dyDescent="0.3">
      <c r="A40" t="s">
        <v>143</v>
      </c>
      <c r="B40" s="3">
        <v>45441</v>
      </c>
      <c r="C40" t="s">
        <v>144</v>
      </c>
      <c r="D40" t="s">
        <v>145</v>
      </c>
      <c r="E40" t="s">
        <v>117</v>
      </c>
      <c r="F40" t="s">
        <v>118</v>
      </c>
      <c r="G40" t="s">
        <v>19</v>
      </c>
      <c r="H40">
        <v>3</v>
      </c>
      <c r="I40">
        <v>89.99</v>
      </c>
      <c r="J40" t="s">
        <v>34</v>
      </c>
      <c r="K40" t="s">
        <v>21</v>
      </c>
      <c r="L40" t="s">
        <v>27</v>
      </c>
      <c r="M40" s="3">
        <v>45120</v>
      </c>
      <c r="N40">
        <v>269.97000000000003</v>
      </c>
      <c r="O40">
        <v>7</v>
      </c>
      <c r="P40">
        <v>2023</v>
      </c>
      <c r="R40" t="str">
        <v>Frank Torres</v>
      </c>
      <c r="S40">
        <f t="shared" si="0"/>
        <v>1479.91</v>
      </c>
      <c r="T40" t="str">
        <f t="shared" si="1"/>
        <v>Normal</v>
      </c>
    </row>
    <row r="41" spans="1:20"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c r="O41">
        <v>12</v>
      </c>
      <c r="P41">
        <v>2022</v>
      </c>
      <c r="R41" t="str">
        <v>Gerald Murphy</v>
      </c>
      <c r="S41">
        <f t="shared" si="0"/>
        <v>6379.87</v>
      </c>
      <c r="T41" t="str">
        <f t="shared" si="1"/>
        <v>High Value</v>
      </c>
    </row>
    <row r="42" spans="1:20" x14ac:dyDescent="0.3">
      <c r="A42" t="s">
        <v>149</v>
      </c>
      <c r="B42" s="3">
        <v>45444</v>
      </c>
      <c r="C42" t="s">
        <v>150</v>
      </c>
      <c r="D42" t="s">
        <v>151</v>
      </c>
      <c r="E42" t="s">
        <v>31</v>
      </c>
      <c r="F42" t="s">
        <v>32</v>
      </c>
      <c r="G42" t="s">
        <v>33</v>
      </c>
      <c r="H42">
        <v>2</v>
      </c>
      <c r="I42">
        <v>59.99</v>
      </c>
      <c r="J42" t="s">
        <v>20</v>
      </c>
      <c r="K42" t="s">
        <v>50</v>
      </c>
      <c r="L42" t="s">
        <v>22</v>
      </c>
      <c r="M42" s="3">
        <v>45390</v>
      </c>
      <c r="N42">
        <v>119.98</v>
      </c>
      <c r="O42">
        <v>4</v>
      </c>
      <c r="P42">
        <v>2024</v>
      </c>
      <c r="R42" t="str">
        <v>Elizabeth Hall</v>
      </c>
      <c r="S42">
        <f t="shared" si="0"/>
        <v>3649.8599999999997</v>
      </c>
      <c r="T42" t="str">
        <f t="shared" si="1"/>
        <v>Normal</v>
      </c>
    </row>
    <row r="43" spans="1:20" x14ac:dyDescent="0.3">
      <c r="A43" t="s">
        <v>152</v>
      </c>
      <c r="B43" s="3">
        <v>45444</v>
      </c>
      <c r="C43" t="s">
        <v>55</v>
      </c>
      <c r="D43" t="s">
        <v>56</v>
      </c>
      <c r="E43" t="s">
        <v>117</v>
      </c>
      <c r="F43" t="s">
        <v>118</v>
      </c>
      <c r="G43" t="s">
        <v>19</v>
      </c>
      <c r="H43">
        <v>1</v>
      </c>
      <c r="I43">
        <v>89.99</v>
      </c>
      <c r="J43" t="s">
        <v>20</v>
      </c>
      <c r="K43" t="s">
        <v>40</v>
      </c>
      <c r="L43" t="s">
        <v>22</v>
      </c>
      <c r="M43" s="3">
        <v>45141</v>
      </c>
      <c r="N43">
        <v>89.99</v>
      </c>
      <c r="O43">
        <v>8</v>
      </c>
      <c r="P43">
        <v>2023</v>
      </c>
      <c r="R43" t="str">
        <v>Lawrence Reed</v>
      </c>
      <c r="S43">
        <f t="shared" si="0"/>
        <v>6989.7699999999986</v>
      </c>
      <c r="T43" t="str">
        <f t="shared" si="1"/>
        <v>High Value</v>
      </c>
    </row>
    <row r="44" spans="1:20" x14ac:dyDescent="0.3">
      <c r="A44" t="s">
        <v>153</v>
      </c>
      <c r="B44" s="3">
        <v>45446</v>
      </c>
      <c r="C44" t="s">
        <v>154</v>
      </c>
      <c r="D44" t="s">
        <v>155</v>
      </c>
      <c r="E44" t="s">
        <v>117</v>
      </c>
      <c r="F44" t="s">
        <v>118</v>
      </c>
      <c r="G44" t="s">
        <v>19</v>
      </c>
      <c r="H44">
        <v>5</v>
      </c>
      <c r="I44">
        <v>89.99</v>
      </c>
      <c r="J44" t="s">
        <v>26</v>
      </c>
      <c r="K44" t="s">
        <v>63</v>
      </c>
      <c r="L44" t="s">
        <v>36</v>
      </c>
      <c r="M44" s="3">
        <v>44587</v>
      </c>
      <c r="N44">
        <v>449.95</v>
      </c>
      <c r="O44">
        <v>1</v>
      </c>
      <c r="P44">
        <v>2022</v>
      </c>
      <c r="R44" t="str">
        <v>Carol Evans</v>
      </c>
      <c r="S44">
        <f t="shared" si="0"/>
        <v>1149.93</v>
      </c>
      <c r="T44" t="str">
        <f t="shared" si="1"/>
        <v>Normal</v>
      </c>
    </row>
    <row r="45" spans="1:20" x14ac:dyDescent="0.3">
      <c r="A45" t="s">
        <v>156</v>
      </c>
      <c r="B45" s="3">
        <v>45449</v>
      </c>
      <c r="C45" t="s">
        <v>24</v>
      </c>
      <c r="D45" t="s">
        <v>25</v>
      </c>
      <c r="E45" t="s">
        <v>17</v>
      </c>
      <c r="F45" t="s">
        <v>18</v>
      </c>
      <c r="G45" t="s">
        <v>19</v>
      </c>
      <c r="H45">
        <v>5</v>
      </c>
      <c r="I45">
        <v>249.99</v>
      </c>
      <c r="J45" t="s">
        <v>26</v>
      </c>
      <c r="K45" t="s">
        <v>63</v>
      </c>
      <c r="L45" t="s">
        <v>36</v>
      </c>
      <c r="M45" s="3">
        <v>44707</v>
      </c>
      <c r="N45">
        <v>1249.95</v>
      </c>
      <c r="O45">
        <v>5</v>
      </c>
      <c r="P45">
        <v>2022</v>
      </c>
      <c r="R45" t="str">
        <v>Sandra Phillips</v>
      </c>
      <c r="S45">
        <f t="shared" si="0"/>
        <v>6349.83</v>
      </c>
      <c r="T45" t="str">
        <f t="shared" si="1"/>
        <v>High Value</v>
      </c>
    </row>
    <row r="46" spans="1:20" x14ac:dyDescent="0.3">
      <c r="A46" t="s">
        <v>157</v>
      </c>
      <c r="B46" s="3">
        <v>45449</v>
      </c>
      <c r="C46" t="s">
        <v>158</v>
      </c>
      <c r="D46" t="s">
        <v>159</v>
      </c>
      <c r="E46" t="s">
        <v>117</v>
      </c>
      <c r="F46" t="s">
        <v>118</v>
      </c>
      <c r="G46" t="s">
        <v>19</v>
      </c>
      <c r="H46">
        <v>1</v>
      </c>
      <c r="I46">
        <v>89.99</v>
      </c>
      <c r="J46" t="s">
        <v>26</v>
      </c>
      <c r="K46" t="s">
        <v>35</v>
      </c>
      <c r="L46" t="s">
        <v>36</v>
      </c>
      <c r="M46" s="3">
        <v>44582</v>
      </c>
      <c r="N46">
        <v>89.99</v>
      </c>
      <c r="O46">
        <v>1</v>
      </c>
      <c r="P46">
        <v>2022</v>
      </c>
      <c r="R46" t="str">
        <v>Ruth Brooks</v>
      </c>
      <c r="S46">
        <f t="shared" si="0"/>
        <v>1749.92</v>
      </c>
      <c r="T46" t="str">
        <f t="shared" si="1"/>
        <v>Normal</v>
      </c>
    </row>
    <row r="47" spans="1:20" x14ac:dyDescent="0.3">
      <c r="A47" t="s">
        <v>160</v>
      </c>
      <c r="B47" s="3">
        <v>45450</v>
      </c>
      <c r="C47" t="s">
        <v>42</v>
      </c>
      <c r="D47" t="s">
        <v>43</v>
      </c>
      <c r="E47" t="s">
        <v>44</v>
      </c>
      <c r="F47" t="s">
        <v>45</v>
      </c>
      <c r="G47" t="s">
        <v>46</v>
      </c>
      <c r="H47">
        <v>2</v>
      </c>
      <c r="I47">
        <v>149.99</v>
      </c>
      <c r="J47" t="s">
        <v>20</v>
      </c>
      <c r="K47" t="s">
        <v>63</v>
      </c>
      <c r="L47" t="s">
        <v>27</v>
      </c>
      <c r="M47" s="3">
        <v>44645</v>
      </c>
      <c r="N47">
        <v>299.98</v>
      </c>
      <c r="O47">
        <v>3</v>
      </c>
      <c r="P47">
        <v>2022</v>
      </c>
      <c r="R47" t="str">
        <v>William White</v>
      </c>
      <c r="S47">
        <f t="shared" si="0"/>
        <v>4749.91</v>
      </c>
      <c r="T47" t="str">
        <f t="shared" si="1"/>
        <v>Normal</v>
      </c>
    </row>
    <row r="48" spans="1:20" x14ac:dyDescent="0.3">
      <c r="A48" t="s">
        <v>161</v>
      </c>
      <c r="B48" s="3">
        <v>45452</v>
      </c>
      <c r="C48" t="s">
        <v>162</v>
      </c>
      <c r="D48" t="s">
        <v>163</v>
      </c>
      <c r="E48" t="s">
        <v>31</v>
      </c>
      <c r="F48" t="s">
        <v>32</v>
      </c>
      <c r="G48" t="s">
        <v>33</v>
      </c>
      <c r="H48">
        <v>4</v>
      </c>
      <c r="I48">
        <v>59.99</v>
      </c>
      <c r="J48" t="s">
        <v>20</v>
      </c>
      <c r="K48" t="s">
        <v>63</v>
      </c>
      <c r="L48" t="s">
        <v>36</v>
      </c>
      <c r="M48" s="3">
        <v>44435</v>
      </c>
      <c r="N48">
        <v>239.96</v>
      </c>
      <c r="O48">
        <v>8</v>
      </c>
      <c r="P48">
        <v>2021</v>
      </c>
      <c r="R48" t="str">
        <v>Richard Lee</v>
      </c>
      <c r="S48">
        <f t="shared" si="0"/>
        <v>739.93000000000006</v>
      </c>
      <c r="T48" t="str">
        <f t="shared" si="1"/>
        <v>Normal</v>
      </c>
    </row>
    <row r="49" spans="1:20" x14ac:dyDescent="0.3">
      <c r="A49" t="s">
        <v>164</v>
      </c>
      <c r="B49" s="3">
        <v>45456</v>
      </c>
      <c r="C49" t="s">
        <v>129</v>
      </c>
      <c r="D49" t="s">
        <v>130</v>
      </c>
      <c r="E49" t="s">
        <v>117</v>
      </c>
      <c r="F49" t="s">
        <v>118</v>
      </c>
      <c r="G49" t="s">
        <v>19</v>
      </c>
      <c r="H49">
        <v>5</v>
      </c>
      <c r="I49">
        <v>89.99</v>
      </c>
      <c r="J49" t="s">
        <v>20</v>
      </c>
      <c r="K49" t="s">
        <v>21</v>
      </c>
      <c r="L49" t="s">
        <v>27</v>
      </c>
      <c r="M49" s="3">
        <v>44579</v>
      </c>
      <c r="N49">
        <v>449.95</v>
      </c>
      <c r="O49">
        <v>1</v>
      </c>
      <c r="P49">
        <v>2022</v>
      </c>
      <c r="R49" t="str">
        <v>Douglas Watson</v>
      </c>
      <c r="S49">
        <f t="shared" si="0"/>
        <v>4829.8899999999994</v>
      </c>
      <c r="T49" t="str">
        <f t="shared" si="1"/>
        <v>Normal</v>
      </c>
    </row>
    <row r="50" spans="1:20" x14ac:dyDescent="0.3">
      <c r="A50" t="s">
        <v>165</v>
      </c>
      <c r="B50" s="3">
        <v>45459</v>
      </c>
      <c r="C50" t="s">
        <v>99</v>
      </c>
      <c r="D50" t="s">
        <v>100</v>
      </c>
      <c r="E50" t="s">
        <v>117</v>
      </c>
      <c r="F50" t="s">
        <v>118</v>
      </c>
      <c r="G50" t="s">
        <v>19</v>
      </c>
      <c r="H50">
        <v>2</v>
      </c>
      <c r="I50">
        <v>89.99</v>
      </c>
      <c r="J50" t="s">
        <v>26</v>
      </c>
      <c r="K50" t="s">
        <v>35</v>
      </c>
      <c r="L50" t="s">
        <v>27</v>
      </c>
      <c r="M50" s="3">
        <v>44471</v>
      </c>
      <c r="N50">
        <v>179.98</v>
      </c>
      <c r="O50">
        <v>10</v>
      </c>
      <c r="P50">
        <v>2021</v>
      </c>
      <c r="R50" t="str">
        <v>James Johnson</v>
      </c>
      <c r="S50">
        <f t="shared" si="0"/>
        <v>179.97</v>
      </c>
      <c r="T50" t="str">
        <f t="shared" si="1"/>
        <v>Normal</v>
      </c>
    </row>
    <row r="51" spans="1:20" x14ac:dyDescent="0.3">
      <c r="A51" t="s">
        <v>166</v>
      </c>
      <c r="B51" s="3">
        <v>45459</v>
      </c>
      <c r="C51" t="s">
        <v>15</v>
      </c>
      <c r="D51" t="s">
        <v>16</v>
      </c>
      <c r="E51" t="s">
        <v>61</v>
      </c>
      <c r="F51" t="s">
        <v>62</v>
      </c>
      <c r="G51" t="s">
        <v>19</v>
      </c>
      <c r="H51">
        <v>5</v>
      </c>
      <c r="I51">
        <v>899.99</v>
      </c>
      <c r="J51" t="s">
        <v>26</v>
      </c>
      <c r="K51" t="s">
        <v>35</v>
      </c>
      <c r="L51" t="s">
        <v>36</v>
      </c>
      <c r="M51" s="3">
        <v>44974</v>
      </c>
      <c r="N51">
        <v>4499.95</v>
      </c>
      <c r="O51">
        <v>2</v>
      </c>
      <c r="P51">
        <v>2023</v>
      </c>
      <c r="R51" t="str">
        <v>Arthur Edwards</v>
      </c>
      <c r="S51">
        <f t="shared" si="0"/>
        <v>1559.94</v>
      </c>
      <c r="T51" t="str">
        <f t="shared" si="1"/>
        <v>Normal</v>
      </c>
    </row>
    <row r="52" spans="1:20" x14ac:dyDescent="0.3">
      <c r="A52" t="s">
        <v>167</v>
      </c>
      <c r="B52" s="3">
        <v>45459</v>
      </c>
      <c r="C52" t="s">
        <v>123</v>
      </c>
      <c r="D52" t="s">
        <v>124</v>
      </c>
      <c r="E52" t="s">
        <v>61</v>
      </c>
      <c r="F52" t="s">
        <v>62</v>
      </c>
      <c r="G52" t="s">
        <v>19</v>
      </c>
      <c r="H52">
        <v>5</v>
      </c>
      <c r="I52">
        <v>899.99</v>
      </c>
      <c r="J52" t="s">
        <v>34</v>
      </c>
      <c r="K52" t="s">
        <v>63</v>
      </c>
      <c r="L52" t="s">
        <v>27</v>
      </c>
      <c r="M52" s="3">
        <v>45278</v>
      </c>
      <c r="N52">
        <v>4499.95</v>
      </c>
      <c r="O52">
        <v>12</v>
      </c>
      <c r="P52">
        <v>2023</v>
      </c>
      <c r="R52" t="str">
        <v>John Smith</v>
      </c>
      <c r="S52">
        <f ca="1">S52</f>
        <v>0</v>
      </c>
      <c r="T52" t="str">
        <f t="shared" ca="1" si="1"/>
        <v>Normal</v>
      </c>
    </row>
    <row r="53" spans="1:20" x14ac:dyDescent="0.3">
      <c r="A53" t="s">
        <v>168</v>
      </c>
      <c r="B53" s="3">
        <v>45460</v>
      </c>
      <c r="C53" t="s">
        <v>158</v>
      </c>
      <c r="D53" t="s">
        <v>159</v>
      </c>
      <c r="E53" t="s">
        <v>31</v>
      </c>
      <c r="F53" t="s">
        <v>32</v>
      </c>
      <c r="G53" t="s">
        <v>33</v>
      </c>
      <c r="H53">
        <v>1</v>
      </c>
      <c r="I53">
        <v>59.99</v>
      </c>
      <c r="J53" t="s">
        <v>57</v>
      </c>
      <c r="K53" t="s">
        <v>50</v>
      </c>
      <c r="L53" t="s">
        <v>27</v>
      </c>
      <c r="M53" s="3">
        <v>45190</v>
      </c>
      <c r="N53">
        <v>59.99</v>
      </c>
      <c r="O53">
        <v>9</v>
      </c>
      <c r="P53">
        <v>2023</v>
      </c>
      <c r="R53">
        <v>0</v>
      </c>
    </row>
    <row r="54" spans="1:20" x14ac:dyDescent="0.3">
      <c r="A54" t="s">
        <v>169</v>
      </c>
      <c r="B54" s="3">
        <v>45460</v>
      </c>
      <c r="C54" t="s">
        <v>141</v>
      </c>
      <c r="D54" t="s">
        <v>142</v>
      </c>
      <c r="E54" t="s">
        <v>105</v>
      </c>
      <c r="F54" t="s">
        <v>106</v>
      </c>
      <c r="G54" t="s">
        <v>46</v>
      </c>
      <c r="H54">
        <v>2</v>
      </c>
      <c r="I54">
        <v>299.99</v>
      </c>
      <c r="J54" t="s">
        <v>57</v>
      </c>
      <c r="K54" t="s">
        <v>63</v>
      </c>
      <c r="L54" t="s">
        <v>36</v>
      </c>
      <c r="M54" s="3">
        <v>45253</v>
      </c>
      <c r="N54">
        <v>599.98</v>
      </c>
      <c r="O54">
        <v>11</v>
      </c>
      <c r="P54">
        <v>2023</v>
      </c>
    </row>
    <row r="55" spans="1:20" x14ac:dyDescent="0.3">
      <c r="A55" t="s">
        <v>170</v>
      </c>
      <c r="B55" s="3">
        <v>45468</v>
      </c>
      <c r="C55" t="s">
        <v>171</v>
      </c>
      <c r="D55" t="s">
        <v>172</v>
      </c>
      <c r="E55" t="s">
        <v>117</v>
      </c>
      <c r="F55" t="s">
        <v>118</v>
      </c>
      <c r="G55" t="s">
        <v>19</v>
      </c>
      <c r="H55">
        <v>4</v>
      </c>
      <c r="I55">
        <v>89.99</v>
      </c>
      <c r="J55" t="s">
        <v>57</v>
      </c>
      <c r="K55" t="s">
        <v>35</v>
      </c>
      <c r="L55" t="s">
        <v>22</v>
      </c>
      <c r="M55" s="3">
        <v>45281</v>
      </c>
      <c r="N55">
        <v>359.96</v>
      </c>
      <c r="O55">
        <v>12</v>
      </c>
      <c r="P55">
        <v>2023</v>
      </c>
    </row>
    <row r="56" spans="1:20"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c r="O56">
        <v>3</v>
      </c>
      <c r="P56">
        <v>2024</v>
      </c>
    </row>
    <row r="57" spans="1:20" x14ac:dyDescent="0.3">
      <c r="A57" t="s">
        <v>174</v>
      </c>
      <c r="B57" s="3">
        <v>45469</v>
      </c>
      <c r="C57" t="s">
        <v>59</v>
      </c>
      <c r="D57" t="s">
        <v>60</v>
      </c>
      <c r="E57" t="s">
        <v>117</v>
      </c>
      <c r="F57" t="s">
        <v>118</v>
      </c>
      <c r="G57" t="s">
        <v>19</v>
      </c>
      <c r="H57">
        <v>2</v>
      </c>
      <c r="I57">
        <v>89.99</v>
      </c>
      <c r="J57" t="s">
        <v>20</v>
      </c>
      <c r="K57" t="s">
        <v>50</v>
      </c>
      <c r="L57" t="s">
        <v>22</v>
      </c>
      <c r="M57" s="3">
        <v>44438</v>
      </c>
      <c r="N57">
        <v>179.98</v>
      </c>
      <c r="O57">
        <v>8</v>
      </c>
      <c r="P57">
        <v>2021</v>
      </c>
    </row>
    <row r="58" spans="1:20" x14ac:dyDescent="0.3">
      <c r="A58" t="s">
        <v>175</v>
      </c>
      <c r="B58" s="3">
        <v>45471</v>
      </c>
      <c r="C58" t="s">
        <v>38</v>
      </c>
      <c r="D58" t="s">
        <v>39</v>
      </c>
      <c r="E58" t="s">
        <v>80</v>
      </c>
      <c r="F58" t="s">
        <v>81</v>
      </c>
      <c r="G58" t="s">
        <v>19</v>
      </c>
      <c r="H58">
        <v>3</v>
      </c>
      <c r="I58">
        <v>699.99</v>
      </c>
      <c r="J58" t="s">
        <v>26</v>
      </c>
      <c r="K58" t="s">
        <v>63</v>
      </c>
      <c r="L58" t="s">
        <v>27</v>
      </c>
      <c r="M58" s="3">
        <v>45102</v>
      </c>
      <c r="N58">
        <v>2099.9699999999998</v>
      </c>
      <c r="O58">
        <v>6</v>
      </c>
      <c r="P58">
        <v>2023</v>
      </c>
    </row>
    <row r="59" spans="1:20" x14ac:dyDescent="0.3">
      <c r="A59" t="s">
        <v>176</v>
      </c>
      <c r="B59" s="3">
        <v>45471</v>
      </c>
      <c r="C59" t="s">
        <v>99</v>
      </c>
      <c r="D59" t="s">
        <v>100</v>
      </c>
      <c r="E59" t="s">
        <v>61</v>
      </c>
      <c r="F59" t="s">
        <v>62</v>
      </c>
      <c r="G59" t="s">
        <v>19</v>
      </c>
      <c r="H59">
        <v>4</v>
      </c>
      <c r="I59">
        <v>899.99</v>
      </c>
      <c r="J59" t="s">
        <v>26</v>
      </c>
      <c r="K59" t="s">
        <v>63</v>
      </c>
      <c r="L59" t="s">
        <v>27</v>
      </c>
      <c r="M59" s="3">
        <v>44993</v>
      </c>
      <c r="N59">
        <v>3599.96</v>
      </c>
      <c r="O59">
        <v>3</v>
      </c>
      <c r="P59">
        <v>2023</v>
      </c>
    </row>
    <row r="60" spans="1:20" x14ac:dyDescent="0.3">
      <c r="A60" t="s">
        <v>177</v>
      </c>
      <c r="B60" s="3">
        <v>45472</v>
      </c>
      <c r="C60" t="s">
        <v>120</v>
      </c>
      <c r="D60" t="s">
        <v>121</v>
      </c>
      <c r="E60" t="s">
        <v>44</v>
      </c>
      <c r="F60" t="s">
        <v>45</v>
      </c>
      <c r="G60" t="s">
        <v>46</v>
      </c>
      <c r="H60">
        <v>1</v>
      </c>
      <c r="I60">
        <v>149.99</v>
      </c>
      <c r="J60" t="s">
        <v>34</v>
      </c>
      <c r="K60" t="s">
        <v>63</v>
      </c>
      <c r="L60" t="s">
        <v>22</v>
      </c>
      <c r="M60" s="3">
        <v>44851</v>
      </c>
      <c r="N60">
        <v>149.99</v>
      </c>
      <c r="O60">
        <v>10</v>
      </c>
      <c r="P60">
        <v>2022</v>
      </c>
    </row>
    <row r="61" spans="1:20" x14ac:dyDescent="0.3">
      <c r="A61" t="s">
        <v>178</v>
      </c>
      <c r="B61" s="3">
        <v>45474</v>
      </c>
      <c r="C61" t="s">
        <v>132</v>
      </c>
      <c r="D61" t="s">
        <v>133</v>
      </c>
      <c r="E61" t="s">
        <v>117</v>
      </c>
      <c r="F61" t="s">
        <v>118</v>
      </c>
      <c r="G61" t="s">
        <v>19</v>
      </c>
      <c r="H61">
        <v>2</v>
      </c>
      <c r="I61">
        <v>89.99</v>
      </c>
      <c r="J61" t="s">
        <v>34</v>
      </c>
      <c r="K61" t="s">
        <v>21</v>
      </c>
      <c r="L61" t="s">
        <v>27</v>
      </c>
      <c r="M61" s="3">
        <v>45275</v>
      </c>
      <c r="N61">
        <v>179.98</v>
      </c>
      <c r="O61">
        <v>12</v>
      </c>
      <c r="P61">
        <v>2023</v>
      </c>
    </row>
    <row r="62" spans="1:20" x14ac:dyDescent="0.3">
      <c r="A62" t="s">
        <v>179</v>
      </c>
      <c r="B62" s="3">
        <v>45475</v>
      </c>
      <c r="C62" t="s">
        <v>55</v>
      </c>
      <c r="D62" t="s">
        <v>56</v>
      </c>
      <c r="E62" t="s">
        <v>117</v>
      </c>
      <c r="F62" t="s">
        <v>118</v>
      </c>
      <c r="G62" t="s">
        <v>19</v>
      </c>
      <c r="H62">
        <v>1</v>
      </c>
      <c r="I62">
        <v>89.99</v>
      </c>
      <c r="J62" t="s">
        <v>34</v>
      </c>
      <c r="K62" t="s">
        <v>50</v>
      </c>
      <c r="L62" t="s">
        <v>36</v>
      </c>
      <c r="M62" s="3">
        <v>44802</v>
      </c>
      <c r="N62">
        <v>89.99</v>
      </c>
      <c r="O62">
        <v>8</v>
      </c>
      <c r="P62">
        <v>2022</v>
      </c>
    </row>
    <row r="63" spans="1:20" x14ac:dyDescent="0.3">
      <c r="A63" t="s">
        <v>180</v>
      </c>
      <c r="B63" s="3">
        <v>45476</v>
      </c>
      <c r="C63" t="s">
        <v>68</v>
      </c>
      <c r="D63" t="s">
        <v>69</v>
      </c>
      <c r="E63" t="s">
        <v>117</v>
      </c>
      <c r="F63" t="s">
        <v>118</v>
      </c>
      <c r="G63" t="s">
        <v>19</v>
      </c>
      <c r="H63">
        <v>1</v>
      </c>
      <c r="I63">
        <v>89.99</v>
      </c>
      <c r="J63" t="s">
        <v>20</v>
      </c>
      <c r="K63" t="s">
        <v>35</v>
      </c>
      <c r="L63" t="s">
        <v>36</v>
      </c>
      <c r="M63" s="3">
        <v>44611</v>
      </c>
      <c r="N63">
        <v>89.99</v>
      </c>
      <c r="O63">
        <v>2</v>
      </c>
      <c r="P63">
        <v>2022</v>
      </c>
    </row>
    <row r="64" spans="1:20" x14ac:dyDescent="0.3">
      <c r="A64" t="s">
        <v>181</v>
      </c>
      <c r="B64" s="3">
        <v>45476</v>
      </c>
      <c r="C64" t="s">
        <v>182</v>
      </c>
      <c r="D64" t="s">
        <v>183</v>
      </c>
      <c r="E64" t="s">
        <v>114</v>
      </c>
      <c r="F64" t="s">
        <v>115</v>
      </c>
      <c r="G64" t="s">
        <v>33</v>
      </c>
      <c r="H64">
        <v>5</v>
      </c>
      <c r="I64">
        <v>79.989999999999995</v>
      </c>
      <c r="J64" t="s">
        <v>57</v>
      </c>
      <c r="K64" t="s">
        <v>21</v>
      </c>
      <c r="L64" t="s">
        <v>22</v>
      </c>
      <c r="M64" s="3">
        <v>44981</v>
      </c>
      <c r="N64">
        <v>399.95</v>
      </c>
      <c r="O64">
        <v>2</v>
      </c>
      <c r="P64">
        <v>2023</v>
      </c>
    </row>
    <row r="65" spans="1:16" x14ac:dyDescent="0.3">
      <c r="A65" t="s">
        <v>184</v>
      </c>
      <c r="B65" s="3">
        <v>45481</v>
      </c>
      <c r="C65" t="s">
        <v>185</v>
      </c>
      <c r="D65" t="s">
        <v>186</v>
      </c>
      <c r="E65" t="s">
        <v>44</v>
      </c>
      <c r="F65" t="s">
        <v>45</v>
      </c>
      <c r="G65" t="s">
        <v>46</v>
      </c>
      <c r="H65">
        <v>1</v>
      </c>
      <c r="I65">
        <v>149.99</v>
      </c>
      <c r="J65" t="s">
        <v>34</v>
      </c>
      <c r="K65" t="s">
        <v>40</v>
      </c>
      <c r="L65" t="s">
        <v>22</v>
      </c>
      <c r="M65" s="3">
        <v>44421</v>
      </c>
      <c r="N65">
        <v>149.99</v>
      </c>
      <c r="O65">
        <v>8</v>
      </c>
      <c r="P65">
        <v>2021</v>
      </c>
    </row>
    <row r="66" spans="1:16" x14ac:dyDescent="0.3">
      <c r="A66" t="s">
        <v>187</v>
      </c>
      <c r="B66" s="3">
        <v>45481</v>
      </c>
      <c r="C66" t="s">
        <v>42</v>
      </c>
      <c r="D66" t="s">
        <v>43</v>
      </c>
      <c r="E66" t="s">
        <v>80</v>
      </c>
      <c r="F66" t="s">
        <v>81</v>
      </c>
      <c r="G66" t="s">
        <v>19</v>
      </c>
      <c r="H66">
        <v>2</v>
      </c>
      <c r="I66">
        <v>699.99</v>
      </c>
      <c r="J66" t="s">
        <v>34</v>
      </c>
      <c r="K66" t="s">
        <v>63</v>
      </c>
      <c r="L66" t="s">
        <v>27</v>
      </c>
      <c r="M66" s="3">
        <v>45389</v>
      </c>
      <c r="N66">
        <v>1399.98</v>
      </c>
      <c r="O66">
        <v>4</v>
      </c>
      <c r="P66">
        <v>2024</v>
      </c>
    </row>
    <row r="67" spans="1:16" x14ac:dyDescent="0.3">
      <c r="A67" t="s">
        <v>188</v>
      </c>
      <c r="B67" s="3">
        <v>45481</v>
      </c>
      <c r="C67" t="s">
        <v>96</v>
      </c>
      <c r="D67" t="s">
        <v>97</v>
      </c>
      <c r="E67" t="s">
        <v>117</v>
      </c>
      <c r="F67" t="s">
        <v>118</v>
      </c>
      <c r="G67" t="s">
        <v>19</v>
      </c>
      <c r="H67">
        <v>5</v>
      </c>
      <c r="I67">
        <v>89.99</v>
      </c>
      <c r="J67" t="s">
        <v>57</v>
      </c>
      <c r="K67" t="s">
        <v>40</v>
      </c>
      <c r="L67" t="s">
        <v>27</v>
      </c>
      <c r="M67" s="3">
        <v>45161</v>
      </c>
      <c r="N67">
        <v>449.95</v>
      </c>
      <c r="O67">
        <v>8</v>
      </c>
      <c r="P67">
        <v>2023</v>
      </c>
    </row>
    <row r="68" spans="1:16" x14ac:dyDescent="0.3">
      <c r="A68" t="s">
        <v>189</v>
      </c>
      <c r="B68" s="3">
        <v>45482</v>
      </c>
      <c r="C68" t="s">
        <v>171</v>
      </c>
      <c r="D68" t="s">
        <v>172</v>
      </c>
      <c r="E68" t="s">
        <v>31</v>
      </c>
      <c r="F68" t="s">
        <v>32</v>
      </c>
      <c r="G68" t="s">
        <v>33</v>
      </c>
      <c r="H68">
        <v>4</v>
      </c>
      <c r="I68">
        <v>59.99</v>
      </c>
      <c r="J68" t="s">
        <v>20</v>
      </c>
      <c r="K68" t="s">
        <v>35</v>
      </c>
      <c r="L68" t="s">
        <v>36</v>
      </c>
      <c r="M68" s="3">
        <v>44509</v>
      </c>
      <c r="N68">
        <v>239.96</v>
      </c>
      <c r="O68">
        <v>11</v>
      </c>
      <c r="P68">
        <v>2021</v>
      </c>
    </row>
    <row r="69" spans="1:16" x14ac:dyDescent="0.3">
      <c r="A69" t="s">
        <v>190</v>
      </c>
      <c r="B69" s="3">
        <v>45484</v>
      </c>
      <c r="C69" t="s">
        <v>24</v>
      </c>
      <c r="D69" t="s">
        <v>25</v>
      </c>
      <c r="E69" t="s">
        <v>52</v>
      </c>
      <c r="F69" t="s">
        <v>53</v>
      </c>
      <c r="G69" t="s">
        <v>19</v>
      </c>
      <c r="H69">
        <v>1</v>
      </c>
      <c r="I69">
        <v>149.99</v>
      </c>
      <c r="J69" t="s">
        <v>20</v>
      </c>
      <c r="K69" t="s">
        <v>21</v>
      </c>
      <c r="L69" t="s">
        <v>36</v>
      </c>
      <c r="M69" s="3">
        <v>44909</v>
      </c>
      <c r="N69">
        <v>149.99</v>
      </c>
      <c r="O69">
        <v>12</v>
      </c>
      <c r="P69">
        <v>2022</v>
      </c>
    </row>
    <row r="70" spans="1:16" x14ac:dyDescent="0.3">
      <c r="A70" t="s">
        <v>191</v>
      </c>
      <c r="B70" s="3">
        <v>45484</v>
      </c>
      <c r="C70" t="s">
        <v>192</v>
      </c>
      <c r="D70" t="s">
        <v>193</v>
      </c>
      <c r="E70" t="s">
        <v>105</v>
      </c>
      <c r="F70" t="s">
        <v>106</v>
      </c>
      <c r="G70" t="s">
        <v>46</v>
      </c>
      <c r="H70">
        <v>1</v>
      </c>
      <c r="I70">
        <v>299.99</v>
      </c>
      <c r="J70" t="s">
        <v>26</v>
      </c>
      <c r="K70" t="s">
        <v>40</v>
      </c>
      <c r="L70" t="s">
        <v>27</v>
      </c>
      <c r="M70" s="3">
        <v>44891</v>
      </c>
      <c r="N70">
        <v>299.99</v>
      </c>
      <c r="O70">
        <v>11</v>
      </c>
      <c r="P70">
        <v>2022</v>
      </c>
    </row>
    <row r="71" spans="1:16" x14ac:dyDescent="0.3">
      <c r="A71" t="s">
        <v>194</v>
      </c>
      <c r="B71" s="3">
        <v>45487</v>
      </c>
      <c r="C71" t="s">
        <v>192</v>
      </c>
      <c r="D71" t="s">
        <v>193</v>
      </c>
      <c r="E71" t="s">
        <v>126</v>
      </c>
      <c r="F71" t="s">
        <v>127</v>
      </c>
      <c r="G71" t="s">
        <v>46</v>
      </c>
      <c r="H71">
        <v>2</v>
      </c>
      <c r="I71">
        <v>199.99</v>
      </c>
      <c r="J71" t="s">
        <v>20</v>
      </c>
      <c r="K71" t="s">
        <v>40</v>
      </c>
      <c r="L71" t="s">
        <v>22</v>
      </c>
      <c r="M71" s="3">
        <v>44541</v>
      </c>
      <c r="N71">
        <v>399.98</v>
      </c>
      <c r="O71">
        <v>12</v>
      </c>
      <c r="P71">
        <v>2021</v>
      </c>
    </row>
    <row r="72" spans="1:16" x14ac:dyDescent="0.3">
      <c r="A72" t="s">
        <v>195</v>
      </c>
      <c r="B72" s="3">
        <v>45490</v>
      </c>
      <c r="C72" t="s">
        <v>196</v>
      </c>
      <c r="D72" t="s">
        <v>197</v>
      </c>
      <c r="E72" t="s">
        <v>31</v>
      </c>
      <c r="F72" t="s">
        <v>32</v>
      </c>
      <c r="G72" t="s">
        <v>33</v>
      </c>
      <c r="H72">
        <v>3</v>
      </c>
      <c r="I72">
        <v>59.99</v>
      </c>
      <c r="J72" t="s">
        <v>26</v>
      </c>
      <c r="K72" t="s">
        <v>50</v>
      </c>
      <c r="L72" t="s">
        <v>22</v>
      </c>
      <c r="M72" s="3">
        <v>45130</v>
      </c>
      <c r="N72">
        <v>179.97</v>
      </c>
      <c r="O72">
        <v>7</v>
      </c>
      <c r="P72">
        <v>2023</v>
      </c>
    </row>
    <row r="73" spans="1:16" x14ac:dyDescent="0.3">
      <c r="A73" t="s">
        <v>198</v>
      </c>
      <c r="B73" s="3">
        <v>45490</v>
      </c>
      <c r="C73" t="s">
        <v>72</v>
      </c>
      <c r="D73" t="s">
        <v>73</v>
      </c>
      <c r="E73" t="s">
        <v>44</v>
      </c>
      <c r="F73" t="s">
        <v>45</v>
      </c>
      <c r="G73" t="s">
        <v>46</v>
      </c>
      <c r="H73">
        <v>3</v>
      </c>
      <c r="I73">
        <v>149.99</v>
      </c>
      <c r="J73" t="s">
        <v>20</v>
      </c>
      <c r="K73" t="s">
        <v>21</v>
      </c>
      <c r="L73" t="s">
        <v>27</v>
      </c>
      <c r="M73" s="3">
        <v>45199</v>
      </c>
      <c r="N73">
        <v>449.97</v>
      </c>
      <c r="O73">
        <v>9</v>
      </c>
      <c r="P73">
        <v>2023</v>
      </c>
    </row>
    <row r="74" spans="1:16" x14ac:dyDescent="0.3">
      <c r="A74" t="s">
        <v>199</v>
      </c>
      <c r="B74" s="3">
        <v>45491</v>
      </c>
      <c r="C74" t="s">
        <v>65</v>
      </c>
      <c r="D74" t="s">
        <v>66</v>
      </c>
      <c r="E74" t="s">
        <v>126</v>
      </c>
      <c r="F74" t="s">
        <v>127</v>
      </c>
      <c r="G74" t="s">
        <v>46</v>
      </c>
      <c r="H74">
        <v>3</v>
      </c>
      <c r="I74">
        <v>199.99</v>
      </c>
      <c r="J74" t="s">
        <v>20</v>
      </c>
      <c r="K74" t="s">
        <v>40</v>
      </c>
      <c r="L74" t="s">
        <v>27</v>
      </c>
      <c r="M74" s="3">
        <v>45254</v>
      </c>
      <c r="N74">
        <v>599.97</v>
      </c>
      <c r="O74">
        <v>11</v>
      </c>
      <c r="P74">
        <v>2023</v>
      </c>
    </row>
    <row r="75" spans="1:16" x14ac:dyDescent="0.3">
      <c r="A75" t="s">
        <v>200</v>
      </c>
      <c r="B75" s="3">
        <v>45496</v>
      </c>
      <c r="C75" t="s">
        <v>150</v>
      </c>
      <c r="D75" t="s">
        <v>151</v>
      </c>
      <c r="E75" t="s">
        <v>61</v>
      </c>
      <c r="F75" t="s">
        <v>62</v>
      </c>
      <c r="G75" t="s">
        <v>19</v>
      </c>
      <c r="H75">
        <v>1</v>
      </c>
      <c r="I75">
        <v>899.99</v>
      </c>
      <c r="J75" t="s">
        <v>20</v>
      </c>
      <c r="K75" t="s">
        <v>21</v>
      </c>
      <c r="L75" t="s">
        <v>36</v>
      </c>
      <c r="M75" s="3">
        <v>45179</v>
      </c>
      <c r="N75">
        <v>899.99</v>
      </c>
      <c r="O75">
        <v>9</v>
      </c>
      <c r="P75">
        <v>2023</v>
      </c>
    </row>
    <row r="76" spans="1:16" x14ac:dyDescent="0.3">
      <c r="A76" t="s">
        <v>201</v>
      </c>
      <c r="B76" s="3">
        <v>45497</v>
      </c>
      <c r="C76" t="s">
        <v>24</v>
      </c>
      <c r="D76" t="s">
        <v>25</v>
      </c>
      <c r="E76" t="s">
        <v>61</v>
      </c>
      <c r="F76" t="s">
        <v>62</v>
      </c>
      <c r="G76" t="s">
        <v>19</v>
      </c>
      <c r="H76">
        <v>5</v>
      </c>
      <c r="I76">
        <v>899.99</v>
      </c>
      <c r="J76" t="s">
        <v>57</v>
      </c>
      <c r="K76" t="s">
        <v>35</v>
      </c>
      <c r="L76" t="s">
        <v>36</v>
      </c>
      <c r="M76" s="3">
        <v>44899</v>
      </c>
      <c r="N76">
        <v>4499.95</v>
      </c>
      <c r="O76">
        <v>12</v>
      </c>
      <c r="P76">
        <v>2022</v>
      </c>
    </row>
    <row r="77" spans="1:16" x14ac:dyDescent="0.3">
      <c r="A77" t="s">
        <v>202</v>
      </c>
      <c r="B77" s="3">
        <v>45498</v>
      </c>
      <c r="C77" t="s">
        <v>182</v>
      </c>
      <c r="D77" t="s">
        <v>183</v>
      </c>
      <c r="E77" t="s">
        <v>31</v>
      </c>
      <c r="F77" t="s">
        <v>32</v>
      </c>
      <c r="G77" t="s">
        <v>33</v>
      </c>
      <c r="H77">
        <v>2</v>
      </c>
      <c r="I77">
        <v>59.99</v>
      </c>
      <c r="J77" t="s">
        <v>20</v>
      </c>
      <c r="K77" t="s">
        <v>40</v>
      </c>
      <c r="L77" t="s">
        <v>36</v>
      </c>
      <c r="M77" s="3">
        <v>45152</v>
      </c>
      <c r="N77">
        <v>119.98</v>
      </c>
      <c r="O77">
        <v>8</v>
      </c>
      <c r="P77">
        <v>2023</v>
      </c>
    </row>
    <row r="78" spans="1:16" x14ac:dyDescent="0.3">
      <c r="A78" t="s">
        <v>203</v>
      </c>
      <c r="B78" s="3">
        <v>45498</v>
      </c>
      <c r="C78" t="s">
        <v>196</v>
      </c>
      <c r="D78" t="s">
        <v>197</v>
      </c>
      <c r="E78" t="s">
        <v>17</v>
      </c>
      <c r="F78" t="s">
        <v>18</v>
      </c>
      <c r="G78" t="s">
        <v>19</v>
      </c>
      <c r="H78">
        <v>4</v>
      </c>
      <c r="I78">
        <v>249.99</v>
      </c>
      <c r="J78" t="s">
        <v>57</v>
      </c>
      <c r="K78" t="s">
        <v>21</v>
      </c>
      <c r="L78" t="s">
        <v>36</v>
      </c>
      <c r="M78" s="3">
        <v>45127</v>
      </c>
      <c r="N78">
        <v>999.96</v>
      </c>
      <c r="O78">
        <v>7</v>
      </c>
      <c r="P78">
        <v>2023</v>
      </c>
    </row>
    <row r="79" spans="1:16" x14ac:dyDescent="0.3">
      <c r="A79" t="s">
        <v>204</v>
      </c>
      <c r="B79" s="3">
        <v>45500</v>
      </c>
      <c r="C79" t="s">
        <v>96</v>
      </c>
      <c r="D79" t="s">
        <v>97</v>
      </c>
      <c r="E79" t="s">
        <v>17</v>
      </c>
      <c r="F79" t="s">
        <v>18</v>
      </c>
      <c r="G79" t="s">
        <v>19</v>
      </c>
      <c r="H79">
        <v>2</v>
      </c>
      <c r="I79">
        <v>249.99</v>
      </c>
      <c r="J79" t="s">
        <v>20</v>
      </c>
      <c r="K79" t="s">
        <v>40</v>
      </c>
      <c r="L79" t="s">
        <v>27</v>
      </c>
      <c r="M79" s="3">
        <v>45164</v>
      </c>
      <c r="N79">
        <v>499.98</v>
      </c>
      <c r="O79">
        <v>8</v>
      </c>
      <c r="P79">
        <v>2023</v>
      </c>
    </row>
    <row r="80" spans="1:16" x14ac:dyDescent="0.3">
      <c r="A80" t="s">
        <v>205</v>
      </c>
      <c r="B80" s="3">
        <v>45500</v>
      </c>
      <c r="C80" t="s">
        <v>147</v>
      </c>
      <c r="D80" t="s">
        <v>148</v>
      </c>
      <c r="E80" t="s">
        <v>105</v>
      </c>
      <c r="F80" t="s">
        <v>106</v>
      </c>
      <c r="G80" t="s">
        <v>46</v>
      </c>
      <c r="H80">
        <v>1</v>
      </c>
      <c r="I80">
        <v>299.99</v>
      </c>
      <c r="J80" t="s">
        <v>20</v>
      </c>
      <c r="K80" t="s">
        <v>35</v>
      </c>
      <c r="L80" t="s">
        <v>22</v>
      </c>
      <c r="M80" s="3">
        <v>44982</v>
      </c>
      <c r="N80">
        <v>299.99</v>
      </c>
      <c r="O80">
        <v>2</v>
      </c>
      <c r="P80">
        <v>2023</v>
      </c>
    </row>
    <row r="81" spans="1:16" x14ac:dyDescent="0.3">
      <c r="A81" t="s">
        <v>206</v>
      </c>
      <c r="B81" s="3">
        <v>45501</v>
      </c>
      <c r="C81" t="s">
        <v>86</v>
      </c>
      <c r="D81" t="s">
        <v>87</v>
      </c>
      <c r="E81" t="s">
        <v>117</v>
      </c>
      <c r="F81" t="s">
        <v>118</v>
      </c>
      <c r="G81" t="s">
        <v>19</v>
      </c>
      <c r="H81">
        <v>2</v>
      </c>
      <c r="I81">
        <v>89.99</v>
      </c>
      <c r="J81" t="s">
        <v>34</v>
      </c>
      <c r="K81" t="s">
        <v>35</v>
      </c>
      <c r="L81" t="s">
        <v>22</v>
      </c>
      <c r="M81" s="3">
        <v>44976</v>
      </c>
      <c r="N81">
        <v>179.98</v>
      </c>
      <c r="O81">
        <v>2</v>
      </c>
      <c r="P81">
        <v>2023</v>
      </c>
    </row>
    <row r="82" spans="1:16" x14ac:dyDescent="0.3">
      <c r="A82" t="s">
        <v>207</v>
      </c>
      <c r="B82" s="3">
        <v>45501</v>
      </c>
      <c r="C82" t="s">
        <v>147</v>
      </c>
      <c r="D82" t="s">
        <v>148</v>
      </c>
      <c r="E82" t="s">
        <v>105</v>
      </c>
      <c r="F82" t="s">
        <v>106</v>
      </c>
      <c r="G82" t="s">
        <v>46</v>
      </c>
      <c r="H82">
        <v>3</v>
      </c>
      <c r="I82">
        <v>299.99</v>
      </c>
      <c r="J82" t="s">
        <v>20</v>
      </c>
      <c r="K82" t="s">
        <v>21</v>
      </c>
      <c r="L82" t="s">
        <v>22</v>
      </c>
      <c r="M82" s="3">
        <v>44732</v>
      </c>
      <c r="N82">
        <v>899.97</v>
      </c>
      <c r="O82">
        <v>6</v>
      </c>
      <c r="P82">
        <v>2022</v>
      </c>
    </row>
    <row r="83" spans="1:16" x14ac:dyDescent="0.3">
      <c r="A83" t="s">
        <v>208</v>
      </c>
      <c r="B83" s="3">
        <v>45503</v>
      </c>
      <c r="C83" t="s">
        <v>86</v>
      </c>
      <c r="D83" t="s">
        <v>87</v>
      </c>
      <c r="E83" t="s">
        <v>80</v>
      </c>
      <c r="F83" t="s">
        <v>81</v>
      </c>
      <c r="G83" t="s">
        <v>19</v>
      </c>
      <c r="H83">
        <v>2</v>
      </c>
      <c r="I83">
        <v>699.99</v>
      </c>
      <c r="J83" t="s">
        <v>26</v>
      </c>
      <c r="K83" t="s">
        <v>40</v>
      </c>
      <c r="L83" t="s">
        <v>27</v>
      </c>
      <c r="M83" s="3">
        <v>44999</v>
      </c>
      <c r="N83">
        <v>1399.98</v>
      </c>
      <c r="O83">
        <v>3</v>
      </c>
      <c r="P83">
        <v>2023</v>
      </c>
    </row>
    <row r="84" spans="1:16" x14ac:dyDescent="0.3">
      <c r="A84" t="s">
        <v>209</v>
      </c>
      <c r="B84" s="3">
        <v>45504</v>
      </c>
      <c r="C84" t="s">
        <v>120</v>
      </c>
      <c r="D84" t="s">
        <v>121</v>
      </c>
      <c r="E84" t="s">
        <v>61</v>
      </c>
      <c r="F84" t="s">
        <v>62</v>
      </c>
      <c r="G84" t="s">
        <v>19</v>
      </c>
      <c r="H84">
        <v>4</v>
      </c>
      <c r="I84">
        <v>899.99</v>
      </c>
      <c r="J84" t="s">
        <v>57</v>
      </c>
      <c r="K84" t="s">
        <v>35</v>
      </c>
      <c r="L84" t="s">
        <v>36</v>
      </c>
      <c r="M84" s="3">
        <v>44523</v>
      </c>
      <c r="N84">
        <v>3599.96</v>
      </c>
      <c r="O84">
        <v>11</v>
      </c>
      <c r="P84">
        <v>2021</v>
      </c>
    </row>
    <row r="85" spans="1:16" x14ac:dyDescent="0.3">
      <c r="A85" t="s">
        <v>210</v>
      </c>
      <c r="B85" s="3">
        <v>45509</v>
      </c>
      <c r="C85" t="s">
        <v>211</v>
      </c>
      <c r="D85" t="s">
        <v>212</v>
      </c>
      <c r="E85" t="s">
        <v>44</v>
      </c>
      <c r="F85" t="s">
        <v>45</v>
      </c>
      <c r="G85" t="s">
        <v>46</v>
      </c>
      <c r="H85">
        <v>2</v>
      </c>
      <c r="I85">
        <v>149.99</v>
      </c>
      <c r="J85" t="s">
        <v>26</v>
      </c>
      <c r="K85" t="s">
        <v>50</v>
      </c>
      <c r="L85" t="s">
        <v>22</v>
      </c>
      <c r="M85" s="3">
        <v>44542</v>
      </c>
      <c r="N85">
        <v>299.98</v>
      </c>
      <c r="O85">
        <v>12</v>
      </c>
      <c r="P85">
        <v>2021</v>
      </c>
    </row>
    <row r="86" spans="1:16" x14ac:dyDescent="0.3">
      <c r="A86" t="s">
        <v>213</v>
      </c>
      <c r="B86" s="3">
        <v>45510</v>
      </c>
      <c r="C86" t="s">
        <v>102</v>
      </c>
      <c r="D86" t="s">
        <v>103</v>
      </c>
      <c r="E86" t="s">
        <v>44</v>
      </c>
      <c r="F86" t="s">
        <v>45</v>
      </c>
      <c r="G86" t="s">
        <v>46</v>
      </c>
      <c r="H86">
        <v>2</v>
      </c>
      <c r="I86">
        <v>149.99</v>
      </c>
      <c r="J86" t="s">
        <v>57</v>
      </c>
      <c r="K86" t="s">
        <v>63</v>
      </c>
      <c r="L86" t="s">
        <v>36</v>
      </c>
      <c r="M86" s="3">
        <v>44667</v>
      </c>
      <c r="N86">
        <v>299.98</v>
      </c>
      <c r="O86">
        <v>4</v>
      </c>
      <c r="P86">
        <v>2022</v>
      </c>
    </row>
    <row r="87" spans="1:16" x14ac:dyDescent="0.3">
      <c r="A87" t="s">
        <v>214</v>
      </c>
      <c r="B87" s="3">
        <v>45513</v>
      </c>
      <c r="C87" t="s">
        <v>89</v>
      </c>
      <c r="D87" t="s">
        <v>90</v>
      </c>
      <c r="E87" t="s">
        <v>117</v>
      </c>
      <c r="F87" t="s">
        <v>118</v>
      </c>
      <c r="G87" t="s">
        <v>19</v>
      </c>
      <c r="H87">
        <v>1</v>
      </c>
      <c r="I87">
        <v>89.99</v>
      </c>
      <c r="J87" t="s">
        <v>26</v>
      </c>
      <c r="K87" t="s">
        <v>40</v>
      </c>
      <c r="L87" t="s">
        <v>36</v>
      </c>
      <c r="M87" s="3">
        <v>45393</v>
      </c>
      <c r="N87">
        <v>89.99</v>
      </c>
      <c r="O87">
        <v>4</v>
      </c>
      <c r="P87">
        <v>2024</v>
      </c>
    </row>
    <row r="88" spans="1:16" x14ac:dyDescent="0.3">
      <c r="A88" t="s">
        <v>215</v>
      </c>
      <c r="B88" s="3">
        <v>45515</v>
      </c>
      <c r="C88" t="s">
        <v>86</v>
      </c>
      <c r="D88" t="s">
        <v>87</v>
      </c>
      <c r="E88" t="s">
        <v>105</v>
      </c>
      <c r="F88" t="s">
        <v>106</v>
      </c>
      <c r="G88" t="s">
        <v>46</v>
      </c>
      <c r="H88">
        <v>5</v>
      </c>
      <c r="I88">
        <v>299.99</v>
      </c>
      <c r="J88" t="s">
        <v>26</v>
      </c>
      <c r="K88" t="s">
        <v>40</v>
      </c>
      <c r="L88" t="s">
        <v>22</v>
      </c>
      <c r="M88" s="3">
        <v>44965</v>
      </c>
      <c r="N88">
        <v>1499.95</v>
      </c>
      <c r="O88">
        <v>2</v>
      </c>
      <c r="P88">
        <v>2023</v>
      </c>
    </row>
    <row r="89" spans="1:16" x14ac:dyDescent="0.3">
      <c r="A89" t="s">
        <v>216</v>
      </c>
      <c r="B89" s="3">
        <v>45517</v>
      </c>
      <c r="C89" t="s">
        <v>182</v>
      </c>
      <c r="D89" t="s">
        <v>183</v>
      </c>
      <c r="E89" t="s">
        <v>52</v>
      </c>
      <c r="F89" t="s">
        <v>53</v>
      </c>
      <c r="G89" t="s">
        <v>19</v>
      </c>
      <c r="H89">
        <v>4</v>
      </c>
      <c r="I89">
        <v>149.99</v>
      </c>
      <c r="J89" t="s">
        <v>57</v>
      </c>
      <c r="K89" t="s">
        <v>35</v>
      </c>
      <c r="L89" t="s">
        <v>27</v>
      </c>
      <c r="M89" s="3">
        <v>44820</v>
      </c>
      <c r="N89">
        <v>599.96</v>
      </c>
      <c r="O89">
        <v>9</v>
      </c>
      <c r="P89">
        <v>2022</v>
      </c>
    </row>
    <row r="90" spans="1:16" x14ac:dyDescent="0.3">
      <c r="A90" t="s">
        <v>217</v>
      </c>
      <c r="B90" s="3">
        <v>45517</v>
      </c>
      <c r="C90" t="s">
        <v>185</v>
      </c>
      <c r="D90" t="s">
        <v>186</v>
      </c>
      <c r="E90" t="s">
        <v>17</v>
      </c>
      <c r="F90" t="s">
        <v>18</v>
      </c>
      <c r="G90" t="s">
        <v>19</v>
      </c>
      <c r="H90">
        <v>5</v>
      </c>
      <c r="I90">
        <v>249.99</v>
      </c>
      <c r="J90" t="s">
        <v>34</v>
      </c>
      <c r="K90" t="s">
        <v>63</v>
      </c>
      <c r="L90" t="s">
        <v>27</v>
      </c>
      <c r="M90" s="3">
        <v>44782</v>
      </c>
      <c r="N90">
        <v>1249.95</v>
      </c>
      <c r="O90">
        <v>8</v>
      </c>
      <c r="P90">
        <v>2022</v>
      </c>
    </row>
    <row r="91" spans="1:16" x14ac:dyDescent="0.3">
      <c r="A91" t="s">
        <v>218</v>
      </c>
      <c r="B91" s="3">
        <v>45517</v>
      </c>
      <c r="C91" t="s">
        <v>65</v>
      </c>
      <c r="D91" t="s">
        <v>66</v>
      </c>
      <c r="E91" t="s">
        <v>17</v>
      </c>
      <c r="F91" t="s">
        <v>18</v>
      </c>
      <c r="G91" t="s">
        <v>19</v>
      </c>
      <c r="H91">
        <v>3</v>
      </c>
      <c r="I91">
        <v>249.99</v>
      </c>
      <c r="J91" t="s">
        <v>34</v>
      </c>
      <c r="K91" t="s">
        <v>40</v>
      </c>
      <c r="L91" t="s">
        <v>27</v>
      </c>
      <c r="M91" s="3">
        <v>44465</v>
      </c>
      <c r="N91">
        <v>749.97</v>
      </c>
      <c r="O91">
        <v>9</v>
      </c>
      <c r="P91">
        <v>2021</v>
      </c>
    </row>
    <row r="92" spans="1:16" x14ac:dyDescent="0.3">
      <c r="A92" t="s">
        <v>219</v>
      </c>
      <c r="B92" s="3">
        <v>45517</v>
      </c>
      <c r="C92" t="s">
        <v>38</v>
      </c>
      <c r="D92" t="s">
        <v>39</v>
      </c>
      <c r="E92" t="s">
        <v>126</v>
      </c>
      <c r="F92" t="s">
        <v>127</v>
      </c>
      <c r="G92" t="s">
        <v>46</v>
      </c>
      <c r="H92">
        <v>4</v>
      </c>
      <c r="I92">
        <v>199.99</v>
      </c>
      <c r="J92" t="s">
        <v>20</v>
      </c>
      <c r="K92" t="s">
        <v>40</v>
      </c>
      <c r="L92" t="s">
        <v>36</v>
      </c>
      <c r="M92" s="3">
        <v>44458</v>
      </c>
      <c r="N92">
        <v>799.96</v>
      </c>
      <c r="O92">
        <v>9</v>
      </c>
      <c r="P92">
        <v>2021</v>
      </c>
    </row>
    <row r="93" spans="1:16" x14ac:dyDescent="0.3">
      <c r="A93" t="s">
        <v>220</v>
      </c>
      <c r="B93" s="3">
        <v>45519</v>
      </c>
      <c r="C93" t="s">
        <v>158</v>
      </c>
      <c r="D93" t="s">
        <v>159</v>
      </c>
      <c r="E93" t="s">
        <v>126</v>
      </c>
      <c r="F93" t="s">
        <v>127</v>
      </c>
      <c r="G93" t="s">
        <v>46</v>
      </c>
      <c r="H93">
        <v>5</v>
      </c>
      <c r="I93">
        <v>199.99</v>
      </c>
      <c r="J93" t="s">
        <v>20</v>
      </c>
      <c r="K93" t="s">
        <v>40</v>
      </c>
      <c r="L93" t="s">
        <v>27</v>
      </c>
      <c r="M93" s="3">
        <v>44991</v>
      </c>
      <c r="N93">
        <v>999.95</v>
      </c>
      <c r="O93">
        <v>3</v>
      </c>
      <c r="P93">
        <v>2023</v>
      </c>
    </row>
    <row r="94" spans="1:16" x14ac:dyDescent="0.3">
      <c r="A94" t="s">
        <v>221</v>
      </c>
      <c r="B94" s="3">
        <v>45522</v>
      </c>
      <c r="C94" t="s">
        <v>86</v>
      </c>
      <c r="D94" t="s">
        <v>87</v>
      </c>
      <c r="E94" t="s">
        <v>117</v>
      </c>
      <c r="F94" t="s">
        <v>118</v>
      </c>
      <c r="G94" t="s">
        <v>19</v>
      </c>
      <c r="H94">
        <v>2</v>
      </c>
      <c r="I94">
        <v>89.99</v>
      </c>
      <c r="J94" t="s">
        <v>20</v>
      </c>
      <c r="K94" t="s">
        <v>63</v>
      </c>
      <c r="L94" t="s">
        <v>27</v>
      </c>
      <c r="M94" s="3">
        <v>44972</v>
      </c>
      <c r="N94">
        <v>179.98</v>
      </c>
      <c r="O94">
        <v>2</v>
      </c>
      <c r="P94">
        <v>2023</v>
      </c>
    </row>
    <row r="95" spans="1:16" x14ac:dyDescent="0.3">
      <c r="A95" t="s">
        <v>222</v>
      </c>
      <c r="B95" s="3">
        <v>45523</v>
      </c>
      <c r="C95" t="s">
        <v>196</v>
      </c>
      <c r="D95" t="s">
        <v>197</v>
      </c>
      <c r="E95" t="s">
        <v>61</v>
      </c>
      <c r="F95" t="s">
        <v>62</v>
      </c>
      <c r="G95" t="s">
        <v>19</v>
      </c>
      <c r="H95">
        <v>5</v>
      </c>
      <c r="I95">
        <v>899.99</v>
      </c>
      <c r="J95" t="s">
        <v>57</v>
      </c>
      <c r="K95" t="s">
        <v>63</v>
      </c>
      <c r="L95" t="s">
        <v>22</v>
      </c>
      <c r="M95" s="3">
        <v>44526</v>
      </c>
      <c r="N95">
        <v>4499.95</v>
      </c>
      <c r="O95">
        <v>11</v>
      </c>
      <c r="P95">
        <v>2021</v>
      </c>
    </row>
    <row r="96" spans="1:16" x14ac:dyDescent="0.3">
      <c r="A96" t="s">
        <v>223</v>
      </c>
      <c r="B96" s="3">
        <v>45523</v>
      </c>
      <c r="C96" t="s">
        <v>108</v>
      </c>
      <c r="D96" t="s">
        <v>109</v>
      </c>
      <c r="E96" t="s">
        <v>52</v>
      </c>
      <c r="F96" t="s">
        <v>53</v>
      </c>
      <c r="G96" t="s">
        <v>19</v>
      </c>
      <c r="H96">
        <v>3</v>
      </c>
      <c r="I96">
        <v>149.99</v>
      </c>
      <c r="J96" t="s">
        <v>34</v>
      </c>
      <c r="K96" t="s">
        <v>63</v>
      </c>
      <c r="L96" t="s">
        <v>22</v>
      </c>
      <c r="M96" s="3">
        <v>44574</v>
      </c>
      <c r="N96">
        <v>449.97</v>
      </c>
      <c r="O96">
        <v>1</v>
      </c>
      <c r="P96">
        <v>2022</v>
      </c>
    </row>
    <row r="97" spans="1:16" x14ac:dyDescent="0.3">
      <c r="A97" t="s">
        <v>224</v>
      </c>
      <c r="B97" s="3">
        <v>45526</v>
      </c>
      <c r="C97" t="s">
        <v>102</v>
      </c>
      <c r="D97" t="s">
        <v>103</v>
      </c>
      <c r="E97" t="s">
        <v>44</v>
      </c>
      <c r="F97" t="s">
        <v>45</v>
      </c>
      <c r="G97" t="s">
        <v>46</v>
      </c>
      <c r="H97">
        <v>5</v>
      </c>
      <c r="I97">
        <v>149.99</v>
      </c>
      <c r="J97" t="s">
        <v>26</v>
      </c>
      <c r="K97" t="s">
        <v>21</v>
      </c>
      <c r="L97" t="s">
        <v>22</v>
      </c>
      <c r="M97" s="3">
        <v>45310</v>
      </c>
      <c r="N97">
        <v>749.95</v>
      </c>
      <c r="O97">
        <v>1</v>
      </c>
      <c r="P97">
        <v>2024</v>
      </c>
    </row>
    <row r="98" spans="1:16" x14ac:dyDescent="0.3">
      <c r="A98" t="s">
        <v>225</v>
      </c>
      <c r="B98" s="3">
        <v>45528</v>
      </c>
      <c r="C98" t="s">
        <v>226</v>
      </c>
      <c r="D98" t="s">
        <v>227</v>
      </c>
      <c r="E98" t="s">
        <v>114</v>
      </c>
      <c r="F98" t="s">
        <v>115</v>
      </c>
      <c r="G98" t="s">
        <v>33</v>
      </c>
      <c r="H98">
        <v>3</v>
      </c>
      <c r="I98">
        <v>79.989999999999995</v>
      </c>
      <c r="J98" t="s">
        <v>20</v>
      </c>
      <c r="K98" t="s">
        <v>21</v>
      </c>
      <c r="L98" t="s">
        <v>27</v>
      </c>
      <c r="M98" s="3">
        <v>44779</v>
      </c>
      <c r="N98">
        <v>239.97</v>
      </c>
      <c r="O98">
        <v>8</v>
      </c>
      <c r="P98">
        <v>2022</v>
      </c>
    </row>
    <row r="99" spans="1:16" x14ac:dyDescent="0.3">
      <c r="A99" t="s">
        <v>228</v>
      </c>
      <c r="B99" s="3">
        <v>45528</v>
      </c>
      <c r="C99" t="s">
        <v>144</v>
      </c>
      <c r="D99" t="s">
        <v>145</v>
      </c>
      <c r="E99" t="s">
        <v>17</v>
      </c>
      <c r="F99" t="s">
        <v>18</v>
      </c>
      <c r="G99" t="s">
        <v>19</v>
      </c>
      <c r="H99">
        <v>2</v>
      </c>
      <c r="I99">
        <v>249.99</v>
      </c>
      <c r="J99" t="s">
        <v>20</v>
      </c>
      <c r="K99" t="s">
        <v>35</v>
      </c>
      <c r="L99" t="s">
        <v>36</v>
      </c>
      <c r="M99" s="3">
        <v>44572</v>
      </c>
      <c r="N99">
        <v>499.98</v>
      </c>
      <c r="O99">
        <v>1</v>
      </c>
      <c r="P99">
        <v>2022</v>
      </c>
    </row>
    <row r="100" spans="1:16" x14ac:dyDescent="0.3">
      <c r="A100" t="s">
        <v>229</v>
      </c>
      <c r="B100" s="3">
        <v>45532</v>
      </c>
      <c r="C100" t="s">
        <v>196</v>
      </c>
      <c r="D100" t="s">
        <v>197</v>
      </c>
      <c r="E100" t="s">
        <v>80</v>
      </c>
      <c r="F100" t="s">
        <v>81</v>
      </c>
      <c r="G100" t="s">
        <v>19</v>
      </c>
      <c r="H100">
        <v>1</v>
      </c>
      <c r="I100">
        <v>699.99</v>
      </c>
      <c r="J100" t="s">
        <v>20</v>
      </c>
      <c r="K100" t="s">
        <v>21</v>
      </c>
      <c r="L100" t="s">
        <v>27</v>
      </c>
      <c r="M100" s="3">
        <v>44497</v>
      </c>
      <c r="N100">
        <v>699.99</v>
      </c>
      <c r="O100">
        <v>10</v>
      </c>
      <c r="P100">
        <v>2021</v>
      </c>
    </row>
    <row r="101" spans="1:16" x14ac:dyDescent="0.3">
      <c r="A101" t="s">
        <v>230</v>
      </c>
      <c r="B101" s="3">
        <v>45532</v>
      </c>
      <c r="C101" t="s">
        <v>231</v>
      </c>
      <c r="D101" t="s">
        <v>232</v>
      </c>
      <c r="E101" t="s">
        <v>52</v>
      </c>
      <c r="F101" t="s">
        <v>53</v>
      </c>
      <c r="G101" t="s">
        <v>19</v>
      </c>
      <c r="H101">
        <v>3</v>
      </c>
      <c r="I101">
        <v>149.99</v>
      </c>
      <c r="J101" t="s">
        <v>20</v>
      </c>
      <c r="K101" t="s">
        <v>50</v>
      </c>
      <c r="L101" t="s">
        <v>27</v>
      </c>
      <c r="M101" s="3">
        <v>45212</v>
      </c>
      <c r="N101">
        <v>449.97</v>
      </c>
      <c r="O101">
        <v>10</v>
      </c>
      <c r="P101">
        <v>2023</v>
      </c>
    </row>
    <row r="102" spans="1:16" x14ac:dyDescent="0.3">
      <c r="A102" t="s">
        <v>233</v>
      </c>
      <c r="B102" s="3">
        <v>45534</v>
      </c>
      <c r="C102" t="s">
        <v>234</v>
      </c>
      <c r="D102" t="s">
        <v>235</v>
      </c>
      <c r="E102" t="s">
        <v>80</v>
      </c>
      <c r="F102" t="s">
        <v>81</v>
      </c>
      <c r="G102" t="s">
        <v>19</v>
      </c>
      <c r="H102">
        <v>2</v>
      </c>
      <c r="I102">
        <v>699.99</v>
      </c>
      <c r="J102" t="s">
        <v>26</v>
      </c>
      <c r="K102" t="s">
        <v>40</v>
      </c>
      <c r="L102" t="s">
        <v>27</v>
      </c>
      <c r="M102" s="3">
        <v>44421</v>
      </c>
      <c r="N102">
        <v>1399.98</v>
      </c>
      <c r="O102">
        <v>8</v>
      </c>
      <c r="P102">
        <v>2021</v>
      </c>
    </row>
    <row r="103" spans="1:16" x14ac:dyDescent="0.3">
      <c r="A103" t="s">
        <v>236</v>
      </c>
      <c r="B103" s="3">
        <v>45537</v>
      </c>
      <c r="C103" t="s">
        <v>231</v>
      </c>
      <c r="D103" t="s">
        <v>232</v>
      </c>
      <c r="E103" t="s">
        <v>17</v>
      </c>
      <c r="F103" t="s">
        <v>18</v>
      </c>
      <c r="G103" t="s">
        <v>19</v>
      </c>
      <c r="H103">
        <v>1</v>
      </c>
      <c r="I103">
        <v>249.99</v>
      </c>
      <c r="J103" t="s">
        <v>26</v>
      </c>
      <c r="K103" t="s">
        <v>50</v>
      </c>
      <c r="L103" t="s">
        <v>27</v>
      </c>
      <c r="M103" s="3">
        <v>44685</v>
      </c>
      <c r="N103">
        <v>249.99</v>
      </c>
      <c r="O103">
        <v>5</v>
      </c>
      <c r="P103">
        <v>2022</v>
      </c>
    </row>
    <row r="104" spans="1:16" x14ac:dyDescent="0.3">
      <c r="A104" t="s">
        <v>237</v>
      </c>
      <c r="B104" s="3">
        <v>45537</v>
      </c>
      <c r="C104" t="s">
        <v>15</v>
      </c>
      <c r="D104" t="s">
        <v>16</v>
      </c>
      <c r="E104" t="s">
        <v>17</v>
      </c>
      <c r="F104" t="s">
        <v>18</v>
      </c>
      <c r="G104" t="s">
        <v>19</v>
      </c>
      <c r="H104">
        <v>1</v>
      </c>
      <c r="I104">
        <v>249.99</v>
      </c>
      <c r="J104" t="s">
        <v>57</v>
      </c>
      <c r="K104" t="s">
        <v>40</v>
      </c>
      <c r="L104" t="s">
        <v>27</v>
      </c>
      <c r="M104" s="3">
        <v>45332</v>
      </c>
      <c r="N104">
        <v>249.99</v>
      </c>
      <c r="O104">
        <v>2</v>
      </c>
      <c r="P104">
        <v>2024</v>
      </c>
    </row>
    <row r="105" spans="1:16" x14ac:dyDescent="0.3">
      <c r="A105" t="s">
        <v>238</v>
      </c>
      <c r="B105" s="3">
        <v>45538</v>
      </c>
      <c r="C105" t="s">
        <v>226</v>
      </c>
      <c r="D105" t="s">
        <v>227</v>
      </c>
      <c r="E105" t="s">
        <v>80</v>
      </c>
      <c r="F105" t="s">
        <v>81</v>
      </c>
      <c r="G105" t="s">
        <v>19</v>
      </c>
      <c r="H105">
        <v>2</v>
      </c>
      <c r="I105">
        <v>699.99</v>
      </c>
      <c r="J105" t="s">
        <v>57</v>
      </c>
      <c r="K105" t="s">
        <v>21</v>
      </c>
      <c r="L105" t="s">
        <v>27</v>
      </c>
      <c r="M105" s="3">
        <v>44870</v>
      </c>
      <c r="N105">
        <v>1399.98</v>
      </c>
      <c r="O105">
        <v>11</v>
      </c>
      <c r="P105">
        <v>2022</v>
      </c>
    </row>
    <row r="106" spans="1:16" x14ac:dyDescent="0.3">
      <c r="A106" t="s">
        <v>239</v>
      </c>
      <c r="B106" s="3">
        <v>45541</v>
      </c>
      <c r="C106" t="s">
        <v>138</v>
      </c>
      <c r="D106" t="s">
        <v>139</v>
      </c>
      <c r="E106" t="s">
        <v>31</v>
      </c>
      <c r="F106" t="s">
        <v>32</v>
      </c>
      <c r="G106" t="s">
        <v>33</v>
      </c>
      <c r="H106">
        <v>3</v>
      </c>
      <c r="I106">
        <v>59.99</v>
      </c>
      <c r="J106" t="s">
        <v>26</v>
      </c>
      <c r="K106" t="s">
        <v>21</v>
      </c>
      <c r="L106" t="s">
        <v>27</v>
      </c>
      <c r="M106" s="3">
        <v>44717</v>
      </c>
      <c r="N106">
        <v>179.97</v>
      </c>
      <c r="O106">
        <v>6</v>
      </c>
      <c r="P106">
        <v>2022</v>
      </c>
    </row>
    <row r="107" spans="1:16" x14ac:dyDescent="0.3">
      <c r="A107" t="s">
        <v>240</v>
      </c>
      <c r="B107" s="3">
        <v>45544</v>
      </c>
      <c r="C107" t="s">
        <v>132</v>
      </c>
      <c r="D107" t="s">
        <v>133</v>
      </c>
      <c r="E107" t="s">
        <v>31</v>
      </c>
      <c r="F107" t="s">
        <v>32</v>
      </c>
      <c r="G107" t="s">
        <v>33</v>
      </c>
      <c r="H107">
        <v>3</v>
      </c>
      <c r="I107">
        <v>59.99</v>
      </c>
      <c r="J107" t="s">
        <v>34</v>
      </c>
      <c r="K107" t="s">
        <v>63</v>
      </c>
      <c r="L107" t="s">
        <v>36</v>
      </c>
      <c r="M107" s="3">
        <v>44748</v>
      </c>
      <c r="N107">
        <v>179.97</v>
      </c>
      <c r="O107">
        <v>7</v>
      </c>
      <c r="P107">
        <v>2022</v>
      </c>
    </row>
    <row r="108" spans="1:16"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c r="O108">
        <v>11</v>
      </c>
      <c r="P108">
        <v>2021</v>
      </c>
    </row>
    <row r="109" spans="1:16"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c r="O109">
        <v>5</v>
      </c>
      <c r="P109">
        <v>2022</v>
      </c>
    </row>
    <row r="110" spans="1:16" x14ac:dyDescent="0.3">
      <c r="A110" t="s">
        <v>243</v>
      </c>
      <c r="B110" s="3">
        <v>45547</v>
      </c>
      <c r="C110" t="s">
        <v>48</v>
      </c>
      <c r="D110" t="s">
        <v>49</v>
      </c>
      <c r="E110" t="s">
        <v>105</v>
      </c>
      <c r="F110" t="s">
        <v>106</v>
      </c>
      <c r="G110" t="s">
        <v>46</v>
      </c>
      <c r="H110">
        <v>3</v>
      </c>
      <c r="I110">
        <v>299.99</v>
      </c>
      <c r="J110" t="s">
        <v>26</v>
      </c>
      <c r="K110" t="s">
        <v>21</v>
      </c>
      <c r="L110" t="s">
        <v>27</v>
      </c>
      <c r="M110" s="3">
        <v>44494</v>
      </c>
      <c r="N110">
        <v>899.97</v>
      </c>
      <c r="O110">
        <v>10</v>
      </c>
      <c r="P110">
        <v>2021</v>
      </c>
    </row>
    <row r="111" spans="1:16" x14ac:dyDescent="0.3">
      <c r="A111" t="s">
        <v>244</v>
      </c>
      <c r="B111" s="3">
        <v>45548</v>
      </c>
      <c r="C111" t="s">
        <v>38</v>
      </c>
      <c r="D111" t="s">
        <v>39</v>
      </c>
      <c r="E111" t="s">
        <v>117</v>
      </c>
      <c r="F111" t="s">
        <v>118</v>
      </c>
      <c r="G111" t="s">
        <v>19</v>
      </c>
      <c r="H111">
        <v>2</v>
      </c>
      <c r="I111">
        <v>89.99</v>
      </c>
      <c r="J111" t="s">
        <v>26</v>
      </c>
      <c r="K111" t="s">
        <v>35</v>
      </c>
      <c r="L111" t="s">
        <v>27</v>
      </c>
      <c r="M111" s="3">
        <v>44641</v>
      </c>
      <c r="N111">
        <v>179.98</v>
      </c>
      <c r="O111">
        <v>3</v>
      </c>
      <c r="P111">
        <v>2022</v>
      </c>
    </row>
    <row r="112" spans="1:16" x14ac:dyDescent="0.3">
      <c r="A112" t="s">
        <v>245</v>
      </c>
      <c r="B112" s="3">
        <v>45550</v>
      </c>
      <c r="C112" t="s">
        <v>246</v>
      </c>
      <c r="D112" t="s">
        <v>247</v>
      </c>
      <c r="E112" t="s">
        <v>52</v>
      </c>
      <c r="F112" t="s">
        <v>53</v>
      </c>
      <c r="G112" t="s">
        <v>19</v>
      </c>
      <c r="H112">
        <v>4</v>
      </c>
      <c r="I112">
        <v>149.99</v>
      </c>
      <c r="J112" t="s">
        <v>20</v>
      </c>
      <c r="K112" t="s">
        <v>40</v>
      </c>
      <c r="L112" t="s">
        <v>22</v>
      </c>
      <c r="M112" s="3">
        <v>44909</v>
      </c>
      <c r="N112">
        <v>599.96</v>
      </c>
      <c r="O112">
        <v>12</v>
      </c>
      <c r="P112">
        <v>2022</v>
      </c>
    </row>
    <row r="113" spans="1:16" x14ac:dyDescent="0.3">
      <c r="A113" t="s">
        <v>248</v>
      </c>
      <c r="B113" s="3">
        <v>45551</v>
      </c>
      <c r="C113" t="s">
        <v>65</v>
      </c>
      <c r="D113" t="s">
        <v>66</v>
      </c>
      <c r="E113" t="s">
        <v>17</v>
      </c>
      <c r="F113" t="s">
        <v>18</v>
      </c>
      <c r="G113" t="s">
        <v>19</v>
      </c>
      <c r="H113">
        <v>2</v>
      </c>
      <c r="I113">
        <v>249.99</v>
      </c>
      <c r="J113" t="s">
        <v>34</v>
      </c>
      <c r="K113" t="s">
        <v>35</v>
      </c>
      <c r="L113" t="s">
        <v>22</v>
      </c>
      <c r="M113" s="3">
        <v>44993</v>
      </c>
      <c r="N113">
        <v>499.98</v>
      </c>
      <c r="O113">
        <v>3</v>
      </c>
      <c r="P113">
        <v>2023</v>
      </c>
    </row>
    <row r="114" spans="1:16" x14ac:dyDescent="0.3">
      <c r="A114" t="s">
        <v>249</v>
      </c>
      <c r="B114" s="3">
        <v>45551</v>
      </c>
      <c r="C114" t="s">
        <v>154</v>
      </c>
      <c r="D114" t="s">
        <v>155</v>
      </c>
      <c r="E114" t="s">
        <v>126</v>
      </c>
      <c r="F114" t="s">
        <v>127</v>
      </c>
      <c r="G114" t="s">
        <v>46</v>
      </c>
      <c r="H114">
        <v>4</v>
      </c>
      <c r="I114">
        <v>199.99</v>
      </c>
      <c r="J114" t="s">
        <v>57</v>
      </c>
      <c r="K114" t="s">
        <v>63</v>
      </c>
      <c r="L114" t="s">
        <v>22</v>
      </c>
      <c r="M114" s="3">
        <v>44458</v>
      </c>
      <c r="N114">
        <v>799.96</v>
      </c>
      <c r="O114">
        <v>9</v>
      </c>
      <c r="P114">
        <v>2021</v>
      </c>
    </row>
    <row r="115" spans="1:16" x14ac:dyDescent="0.3">
      <c r="A115" t="s">
        <v>250</v>
      </c>
      <c r="B115" s="3">
        <v>45554</v>
      </c>
      <c r="C115" t="s">
        <v>147</v>
      </c>
      <c r="D115" t="s">
        <v>148</v>
      </c>
      <c r="E115" t="s">
        <v>117</v>
      </c>
      <c r="F115" t="s">
        <v>118</v>
      </c>
      <c r="G115" t="s">
        <v>19</v>
      </c>
      <c r="H115">
        <v>5</v>
      </c>
      <c r="I115">
        <v>89.99</v>
      </c>
      <c r="J115" t="s">
        <v>26</v>
      </c>
      <c r="K115" t="s">
        <v>63</v>
      </c>
      <c r="L115" t="s">
        <v>27</v>
      </c>
      <c r="M115" s="3">
        <v>44446</v>
      </c>
      <c r="N115">
        <v>449.95</v>
      </c>
      <c r="O115">
        <v>9</v>
      </c>
      <c r="P115">
        <v>2021</v>
      </c>
    </row>
    <row r="116" spans="1:16" x14ac:dyDescent="0.3">
      <c r="A116" t="s">
        <v>251</v>
      </c>
      <c r="B116" s="3">
        <v>45554</v>
      </c>
      <c r="C116" t="s">
        <v>252</v>
      </c>
      <c r="D116" t="s">
        <v>253</v>
      </c>
      <c r="E116" t="s">
        <v>52</v>
      </c>
      <c r="F116" t="s">
        <v>53</v>
      </c>
      <c r="G116" t="s">
        <v>19</v>
      </c>
      <c r="H116">
        <v>1</v>
      </c>
      <c r="I116">
        <v>149.99</v>
      </c>
      <c r="J116" t="s">
        <v>34</v>
      </c>
      <c r="K116" t="s">
        <v>63</v>
      </c>
      <c r="L116" t="s">
        <v>36</v>
      </c>
      <c r="M116" s="3">
        <v>44482</v>
      </c>
      <c r="N116">
        <v>149.99</v>
      </c>
      <c r="O116">
        <v>10</v>
      </c>
      <c r="P116">
        <v>2021</v>
      </c>
    </row>
    <row r="117" spans="1:16" x14ac:dyDescent="0.3">
      <c r="A117" t="s">
        <v>254</v>
      </c>
      <c r="B117" s="3">
        <v>45554</v>
      </c>
      <c r="C117" t="s">
        <v>72</v>
      </c>
      <c r="D117" t="s">
        <v>73</v>
      </c>
      <c r="E117" t="s">
        <v>80</v>
      </c>
      <c r="F117" t="s">
        <v>81</v>
      </c>
      <c r="G117" t="s">
        <v>19</v>
      </c>
      <c r="H117">
        <v>4</v>
      </c>
      <c r="I117">
        <v>699.99</v>
      </c>
      <c r="J117" t="s">
        <v>34</v>
      </c>
      <c r="K117" t="s">
        <v>35</v>
      </c>
      <c r="L117" t="s">
        <v>22</v>
      </c>
      <c r="M117" s="3">
        <v>44618</v>
      </c>
      <c r="N117">
        <v>2799.96</v>
      </c>
      <c r="O117">
        <v>2</v>
      </c>
      <c r="P117">
        <v>2022</v>
      </c>
    </row>
    <row r="118" spans="1:16" x14ac:dyDescent="0.3">
      <c r="A118" t="s">
        <v>255</v>
      </c>
      <c r="B118" s="3">
        <v>45559</v>
      </c>
      <c r="C118" t="s">
        <v>234</v>
      </c>
      <c r="D118" t="s">
        <v>235</v>
      </c>
      <c r="E118" t="s">
        <v>61</v>
      </c>
      <c r="F118" t="s">
        <v>62</v>
      </c>
      <c r="G118" t="s">
        <v>19</v>
      </c>
      <c r="H118">
        <v>3</v>
      </c>
      <c r="I118">
        <v>899.99</v>
      </c>
      <c r="J118" t="s">
        <v>26</v>
      </c>
      <c r="K118" t="s">
        <v>40</v>
      </c>
      <c r="L118" t="s">
        <v>36</v>
      </c>
      <c r="M118" s="3">
        <v>45157</v>
      </c>
      <c r="N118">
        <v>2699.97</v>
      </c>
      <c r="O118">
        <v>8</v>
      </c>
      <c r="P118">
        <v>2023</v>
      </c>
    </row>
    <row r="119" spans="1:16" x14ac:dyDescent="0.3">
      <c r="A119" t="s">
        <v>256</v>
      </c>
      <c r="B119" s="3">
        <v>45560</v>
      </c>
      <c r="C119" t="s">
        <v>112</v>
      </c>
      <c r="D119" t="s">
        <v>113</v>
      </c>
      <c r="E119" t="s">
        <v>44</v>
      </c>
      <c r="F119" t="s">
        <v>45</v>
      </c>
      <c r="G119" t="s">
        <v>46</v>
      </c>
      <c r="H119">
        <v>3</v>
      </c>
      <c r="I119">
        <v>149.99</v>
      </c>
      <c r="J119" t="s">
        <v>34</v>
      </c>
      <c r="K119" t="s">
        <v>63</v>
      </c>
      <c r="L119" t="s">
        <v>22</v>
      </c>
      <c r="M119" s="3">
        <v>44886</v>
      </c>
      <c r="N119">
        <v>449.97</v>
      </c>
      <c r="O119">
        <v>11</v>
      </c>
      <c r="P119">
        <v>2022</v>
      </c>
    </row>
    <row r="120" spans="1:16" x14ac:dyDescent="0.3">
      <c r="A120" t="s">
        <v>257</v>
      </c>
      <c r="B120" s="3">
        <v>45563</v>
      </c>
      <c r="C120" t="s">
        <v>99</v>
      </c>
      <c r="D120" t="s">
        <v>100</v>
      </c>
      <c r="E120" t="s">
        <v>105</v>
      </c>
      <c r="F120" t="s">
        <v>106</v>
      </c>
      <c r="G120" t="s">
        <v>46</v>
      </c>
      <c r="H120">
        <v>2</v>
      </c>
      <c r="I120">
        <v>299.99</v>
      </c>
      <c r="J120" t="s">
        <v>57</v>
      </c>
      <c r="K120" t="s">
        <v>21</v>
      </c>
      <c r="L120" t="s">
        <v>22</v>
      </c>
      <c r="M120" s="3">
        <v>44569</v>
      </c>
      <c r="N120">
        <v>599.98</v>
      </c>
      <c r="O120">
        <v>1</v>
      </c>
      <c r="P120">
        <v>2022</v>
      </c>
    </row>
    <row r="121" spans="1:16" x14ac:dyDescent="0.3">
      <c r="A121" t="s">
        <v>258</v>
      </c>
      <c r="B121" s="3">
        <v>45564</v>
      </c>
      <c r="C121" t="s">
        <v>259</v>
      </c>
      <c r="D121" t="s">
        <v>260</v>
      </c>
      <c r="E121" t="s">
        <v>126</v>
      </c>
      <c r="F121" t="s">
        <v>127</v>
      </c>
      <c r="G121" t="s">
        <v>46</v>
      </c>
      <c r="H121">
        <v>1</v>
      </c>
      <c r="I121">
        <v>199.99</v>
      </c>
      <c r="J121" t="s">
        <v>57</v>
      </c>
      <c r="K121" t="s">
        <v>63</v>
      </c>
      <c r="L121" t="s">
        <v>36</v>
      </c>
      <c r="M121" s="3">
        <v>44953</v>
      </c>
      <c r="N121">
        <v>199.99</v>
      </c>
      <c r="O121">
        <v>1</v>
      </c>
      <c r="P121">
        <v>2023</v>
      </c>
    </row>
    <row r="122" spans="1:16" x14ac:dyDescent="0.3">
      <c r="A122" t="s">
        <v>261</v>
      </c>
      <c r="B122" s="3">
        <v>45566</v>
      </c>
      <c r="C122" t="s">
        <v>42</v>
      </c>
      <c r="D122" t="s">
        <v>43</v>
      </c>
      <c r="E122" t="s">
        <v>105</v>
      </c>
      <c r="F122" t="s">
        <v>106</v>
      </c>
      <c r="G122" t="s">
        <v>46</v>
      </c>
      <c r="H122">
        <v>4</v>
      </c>
      <c r="I122">
        <v>299.99</v>
      </c>
      <c r="J122" t="s">
        <v>20</v>
      </c>
      <c r="K122" t="s">
        <v>21</v>
      </c>
      <c r="L122" t="s">
        <v>27</v>
      </c>
      <c r="M122" s="3">
        <v>44460</v>
      </c>
      <c r="N122">
        <v>1199.96</v>
      </c>
      <c r="O122">
        <v>9</v>
      </c>
      <c r="P122">
        <v>2021</v>
      </c>
    </row>
    <row r="123" spans="1:16" x14ac:dyDescent="0.3">
      <c r="A123" t="s">
        <v>262</v>
      </c>
      <c r="B123" s="3">
        <v>45572</v>
      </c>
      <c r="C123" t="s">
        <v>89</v>
      </c>
      <c r="D123" t="s">
        <v>90</v>
      </c>
      <c r="E123" t="s">
        <v>31</v>
      </c>
      <c r="F123" t="s">
        <v>32</v>
      </c>
      <c r="G123" t="s">
        <v>33</v>
      </c>
      <c r="H123">
        <v>2</v>
      </c>
      <c r="I123">
        <v>59.99</v>
      </c>
      <c r="J123" t="s">
        <v>26</v>
      </c>
      <c r="K123" t="s">
        <v>21</v>
      </c>
      <c r="L123" t="s">
        <v>22</v>
      </c>
      <c r="M123" s="3">
        <v>44579</v>
      </c>
      <c r="N123">
        <v>119.98</v>
      </c>
      <c r="O123">
        <v>1</v>
      </c>
      <c r="P123">
        <v>2022</v>
      </c>
    </row>
    <row r="124" spans="1:16" x14ac:dyDescent="0.3">
      <c r="A124" t="s">
        <v>263</v>
      </c>
      <c r="B124" s="3">
        <v>45572</v>
      </c>
      <c r="C124" t="s">
        <v>234</v>
      </c>
      <c r="D124" t="s">
        <v>235</v>
      </c>
      <c r="E124" t="s">
        <v>52</v>
      </c>
      <c r="F124" t="s">
        <v>53</v>
      </c>
      <c r="G124" t="s">
        <v>19</v>
      </c>
      <c r="H124">
        <v>4</v>
      </c>
      <c r="I124">
        <v>149.99</v>
      </c>
      <c r="J124" t="s">
        <v>26</v>
      </c>
      <c r="K124" t="s">
        <v>40</v>
      </c>
      <c r="L124" t="s">
        <v>27</v>
      </c>
      <c r="M124" s="3">
        <v>45076</v>
      </c>
      <c r="N124">
        <v>599.96</v>
      </c>
      <c r="O124">
        <v>5</v>
      </c>
      <c r="P124">
        <v>2023</v>
      </c>
    </row>
    <row r="125" spans="1:16" x14ac:dyDescent="0.3">
      <c r="A125" t="s">
        <v>264</v>
      </c>
      <c r="B125" s="3">
        <v>45573</v>
      </c>
      <c r="C125" t="s">
        <v>211</v>
      </c>
      <c r="D125" t="s">
        <v>212</v>
      </c>
      <c r="E125" t="s">
        <v>80</v>
      </c>
      <c r="F125" t="s">
        <v>81</v>
      </c>
      <c r="G125" t="s">
        <v>19</v>
      </c>
      <c r="H125">
        <v>2</v>
      </c>
      <c r="I125">
        <v>699.99</v>
      </c>
      <c r="J125" t="s">
        <v>57</v>
      </c>
      <c r="K125" t="s">
        <v>63</v>
      </c>
      <c r="L125" t="s">
        <v>27</v>
      </c>
      <c r="M125" s="3">
        <v>45274</v>
      </c>
      <c r="N125">
        <v>1399.98</v>
      </c>
      <c r="O125">
        <v>12</v>
      </c>
      <c r="P125">
        <v>2023</v>
      </c>
    </row>
    <row r="126" spans="1:16" x14ac:dyDescent="0.3">
      <c r="A126" t="s">
        <v>265</v>
      </c>
      <c r="B126" s="3">
        <v>45573</v>
      </c>
      <c r="C126" t="s">
        <v>231</v>
      </c>
      <c r="D126" t="s">
        <v>232</v>
      </c>
      <c r="E126" t="s">
        <v>44</v>
      </c>
      <c r="F126" t="s">
        <v>45</v>
      </c>
      <c r="G126" t="s">
        <v>46</v>
      </c>
      <c r="H126">
        <v>3</v>
      </c>
      <c r="I126">
        <v>149.99</v>
      </c>
      <c r="J126" t="s">
        <v>26</v>
      </c>
      <c r="K126" t="s">
        <v>35</v>
      </c>
      <c r="L126" t="s">
        <v>36</v>
      </c>
      <c r="M126" s="3">
        <v>44940</v>
      </c>
      <c r="N126">
        <v>449.97</v>
      </c>
      <c r="O126">
        <v>1</v>
      </c>
      <c r="P126">
        <v>2023</v>
      </c>
    </row>
    <row r="127" spans="1:16" x14ac:dyDescent="0.3">
      <c r="A127" t="s">
        <v>266</v>
      </c>
      <c r="B127" s="3">
        <v>45576</v>
      </c>
      <c r="C127" t="s">
        <v>147</v>
      </c>
      <c r="D127" t="s">
        <v>148</v>
      </c>
      <c r="E127" t="s">
        <v>105</v>
      </c>
      <c r="F127" t="s">
        <v>106</v>
      </c>
      <c r="G127" t="s">
        <v>46</v>
      </c>
      <c r="H127">
        <v>3</v>
      </c>
      <c r="I127">
        <v>299.99</v>
      </c>
      <c r="J127" t="s">
        <v>26</v>
      </c>
      <c r="K127" t="s">
        <v>21</v>
      </c>
      <c r="L127" t="s">
        <v>36</v>
      </c>
      <c r="M127" s="3">
        <v>45174</v>
      </c>
      <c r="N127">
        <v>899.97</v>
      </c>
      <c r="O127">
        <v>9</v>
      </c>
      <c r="P127">
        <v>2023</v>
      </c>
    </row>
    <row r="128" spans="1:16" x14ac:dyDescent="0.3">
      <c r="A128" t="s">
        <v>267</v>
      </c>
      <c r="B128" s="3">
        <v>45579</v>
      </c>
      <c r="C128" t="s">
        <v>83</v>
      </c>
      <c r="D128" t="s">
        <v>84</v>
      </c>
      <c r="E128" t="s">
        <v>61</v>
      </c>
      <c r="F128" t="s">
        <v>62</v>
      </c>
      <c r="G128" t="s">
        <v>19</v>
      </c>
      <c r="H128">
        <v>3</v>
      </c>
      <c r="I128">
        <v>899.99</v>
      </c>
      <c r="J128" t="s">
        <v>34</v>
      </c>
      <c r="K128" t="s">
        <v>50</v>
      </c>
      <c r="L128" t="s">
        <v>22</v>
      </c>
      <c r="M128" s="3">
        <v>45215</v>
      </c>
      <c r="N128">
        <v>2699.97</v>
      </c>
      <c r="O128">
        <v>10</v>
      </c>
      <c r="P128">
        <v>2023</v>
      </c>
    </row>
    <row r="129" spans="1:16" x14ac:dyDescent="0.3">
      <c r="A129" t="s">
        <v>268</v>
      </c>
      <c r="B129" s="3">
        <v>45581</v>
      </c>
      <c r="C129" t="s">
        <v>96</v>
      </c>
      <c r="D129" t="s">
        <v>97</v>
      </c>
      <c r="E129" t="s">
        <v>80</v>
      </c>
      <c r="F129" t="s">
        <v>81</v>
      </c>
      <c r="G129" t="s">
        <v>19</v>
      </c>
      <c r="H129">
        <v>5</v>
      </c>
      <c r="I129">
        <v>699.99</v>
      </c>
      <c r="J129" t="s">
        <v>20</v>
      </c>
      <c r="K129" t="s">
        <v>63</v>
      </c>
      <c r="L129" t="s">
        <v>36</v>
      </c>
      <c r="M129" s="3">
        <v>45008</v>
      </c>
      <c r="N129">
        <v>3499.95</v>
      </c>
      <c r="O129">
        <v>3</v>
      </c>
      <c r="P129">
        <v>2023</v>
      </c>
    </row>
    <row r="130" spans="1:16" x14ac:dyDescent="0.3">
      <c r="A130" t="s">
        <v>269</v>
      </c>
      <c r="B130" s="3">
        <v>45581</v>
      </c>
      <c r="C130" t="s">
        <v>171</v>
      </c>
      <c r="D130" t="s">
        <v>172</v>
      </c>
      <c r="E130" t="s">
        <v>80</v>
      </c>
      <c r="F130" t="s">
        <v>81</v>
      </c>
      <c r="G130" t="s">
        <v>19</v>
      </c>
      <c r="H130">
        <v>4</v>
      </c>
      <c r="I130">
        <v>699.99</v>
      </c>
      <c r="J130" t="s">
        <v>26</v>
      </c>
      <c r="K130" t="s">
        <v>21</v>
      </c>
      <c r="L130" t="s">
        <v>22</v>
      </c>
      <c r="M130" s="3">
        <v>45385</v>
      </c>
      <c r="N130">
        <v>2799.96</v>
      </c>
      <c r="O130">
        <v>4</v>
      </c>
      <c r="P130">
        <v>2024</v>
      </c>
    </row>
    <row r="131" spans="1:16" x14ac:dyDescent="0.3">
      <c r="A131" t="s">
        <v>270</v>
      </c>
      <c r="B131" s="3">
        <v>45581</v>
      </c>
      <c r="C131" t="s">
        <v>150</v>
      </c>
      <c r="D131" t="s">
        <v>151</v>
      </c>
      <c r="E131" t="s">
        <v>61</v>
      </c>
      <c r="F131" t="s">
        <v>62</v>
      </c>
      <c r="G131" t="s">
        <v>19</v>
      </c>
      <c r="H131">
        <v>1</v>
      </c>
      <c r="I131">
        <v>899.99</v>
      </c>
      <c r="J131" t="s">
        <v>26</v>
      </c>
      <c r="K131" t="s">
        <v>63</v>
      </c>
      <c r="L131" t="s">
        <v>36</v>
      </c>
      <c r="M131" s="3">
        <v>45369</v>
      </c>
      <c r="N131">
        <v>899.99</v>
      </c>
      <c r="O131">
        <v>3</v>
      </c>
      <c r="P131">
        <v>2024</v>
      </c>
    </row>
    <row r="132" spans="1:16" x14ac:dyDescent="0.3">
      <c r="A132" t="s">
        <v>271</v>
      </c>
      <c r="B132" s="3">
        <v>45583</v>
      </c>
      <c r="C132" t="s">
        <v>226</v>
      </c>
      <c r="D132" t="s">
        <v>227</v>
      </c>
      <c r="E132" t="s">
        <v>52</v>
      </c>
      <c r="F132" t="s">
        <v>53</v>
      </c>
      <c r="G132" t="s">
        <v>19</v>
      </c>
      <c r="H132">
        <v>2</v>
      </c>
      <c r="I132">
        <v>149.99</v>
      </c>
      <c r="J132" t="s">
        <v>26</v>
      </c>
      <c r="K132" t="s">
        <v>50</v>
      </c>
      <c r="L132" t="s">
        <v>22</v>
      </c>
      <c r="M132" s="3">
        <v>44916</v>
      </c>
      <c r="N132">
        <v>299.98</v>
      </c>
      <c r="O132">
        <v>12</v>
      </c>
      <c r="P132">
        <v>2022</v>
      </c>
    </row>
    <row r="133" spans="1:16"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c r="O133">
        <v>12</v>
      </c>
      <c r="P133">
        <v>2021</v>
      </c>
    </row>
    <row r="134" spans="1:16" x14ac:dyDescent="0.3">
      <c r="A134" t="s">
        <v>273</v>
      </c>
      <c r="B134" s="3">
        <v>45588</v>
      </c>
      <c r="C134" t="s">
        <v>38</v>
      </c>
      <c r="D134" t="s">
        <v>39</v>
      </c>
      <c r="E134" t="s">
        <v>52</v>
      </c>
      <c r="F134" t="s">
        <v>53</v>
      </c>
      <c r="G134" t="s">
        <v>19</v>
      </c>
      <c r="H134">
        <v>2</v>
      </c>
      <c r="I134">
        <v>149.99</v>
      </c>
      <c r="J134" t="s">
        <v>34</v>
      </c>
      <c r="K134" t="s">
        <v>21</v>
      </c>
      <c r="L134" t="s">
        <v>22</v>
      </c>
      <c r="M134" s="3">
        <v>44473</v>
      </c>
      <c r="N134">
        <v>299.98</v>
      </c>
      <c r="O134">
        <v>10</v>
      </c>
      <c r="P134">
        <v>2021</v>
      </c>
    </row>
    <row r="135" spans="1:16" x14ac:dyDescent="0.3">
      <c r="A135" t="s">
        <v>274</v>
      </c>
      <c r="B135" s="3">
        <v>45588</v>
      </c>
      <c r="C135" t="s">
        <v>154</v>
      </c>
      <c r="D135" t="s">
        <v>155</v>
      </c>
      <c r="E135" t="s">
        <v>80</v>
      </c>
      <c r="F135" t="s">
        <v>81</v>
      </c>
      <c r="G135" t="s">
        <v>19</v>
      </c>
      <c r="H135">
        <v>2</v>
      </c>
      <c r="I135">
        <v>699.99</v>
      </c>
      <c r="J135" t="s">
        <v>20</v>
      </c>
      <c r="K135" t="s">
        <v>21</v>
      </c>
      <c r="L135" t="s">
        <v>22</v>
      </c>
      <c r="M135" s="3">
        <v>44992</v>
      </c>
      <c r="N135">
        <v>1399.98</v>
      </c>
      <c r="O135">
        <v>3</v>
      </c>
      <c r="P135">
        <v>2023</v>
      </c>
    </row>
    <row r="136" spans="1:16" x14ac:dyDescent="0.3">
      <c r="A136" t="s">
        <v>275</v>
      </c>
      <c r="B136" s="3">
        <v>45589</v>
      </c>
      <c r="C136" t="s">
        <v>158</v>
      </c>
      <c r="D136" t="s">
        <v>159</v>
      </c>
      <c r="E136" t="s">
        <v>80</v>
      </c>
      <c r="F136" t="s">
        <v>81</v>
      </c>
      <c r="G136" t="s">
        <v>19</v>
      </c>
      <c r="H136">
        <v>5</v>
      </c>
      <c r="I136">
        <v>699.99</v>
      </c>
      <c r="J136" t="s">
        <v>20</v>
      </c>
      <c r="K136" t="s">
        <v>40</v>
      </c>
      <c r="L136" t="s">
        <v>27</v>
      </c>
      <c r="M136" s="3">
        <v>44635</v>
      </c>
      <c r="N136">
        <v>3499.95</v>
      </c>
      <c r="O136">
        <v>3</v>
      </c>
      <c r="P136">
        <v>2022</v>
      </c>
    </row>
    <row r="137" spans="1:16"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c r="O137">
        <v>2</v>
      </c>
      <c r="P137">
        <v>2022</v>
      </c>
    </row>
    <row r="138" spans="1:16" x14ac:dyDescent="0.3">
      <c r="A138" t="s">
        <v>277</v>
      </c>
      <c r="B138" s="3">
        <v>45597</v>
      </c>
      <c r="C138" t="s">
        <v>15</v>
      </c>
      <c r="D138" t="s">
        <v>16</v>
      </c>
      <c r="E138" t="s">
        <v>17</v>
      </c>
      <c r="F138" t="s">
        <v>18</v>
      </c>
      <c r="G138" t="s">
        <v>19</v>
      </c>
      <c r="H138">
        <v>5</v>
      </c>
      <c r="I138">
        <v>249.99</v>
      </c>
      <c r="J138" t="s">
        <v>26</v>
      </c>
      <c r="K138" t="s">
        <v>35</v>
      </c>
      <c r="L138" t="s">
        <v>36</v>
      </c>
      <c r="M138" s="3">
        <v>44881</v>
      </c>
      <c r="N138">
        <v>1249.95</v>
      </c>
      <c r="O138">
        <v>11</v>
      </c>
      <c r="P138">
        <v>2022</v>
      </c>
    </row>
    <row r="139" spans="1:16" x14ac:dyDescent="0.3">
      <c r="A139" t="s">
        <v>278</v>
      </c>
      <c r="B139" s="3">
        <v>45600</v>
      </c>
      <c r="C139" t="s">
        <v>65</v>
      </c>
      <c r="D139" t="s">
        <v>66</v>
      </c>
      <c r="E139" t="s">
        <v>105</v>
      </c>
      <c r="F139" t="s">
        <v>106</v>
      </c>
      <c r="G139" t="s">
        <v>46</v>
      </c>
      <c r="H139">
        <v>3</v>
      </c>
      <c r="I139">
        <v>299.99</v>
      </c>
      <c r="J139" t="s">
        <v>26</v>
      </c>
      <c r="K139" t="s">
        <v>35</v>
      </c>
      <c r="L139" t="s">
        <v>36</v>
      </c>
      <c r="M139" s="3">
        <v>44502</v>
      </c>
      <c r="N139">
        <v>899.97</v>
      </c>
      <c r="O139">
        <v>11</v>
      </c>
      <c r="P139">
        <v>2021</v>
      </c>
    </row>
    <row r="140" spans="1:16"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c r="O140">
        <v>8</v>
      </c>
      <c r="P140">
        <v>2021</v>
      </c>
    </row>
    <row r="141" spans="1:16" x14ac:dyDescent="0.3">
      <c r="A141" t="s">
        <v>280</v>
      </c>
      <c r="B141" s="3">
        <v>45604</v>
      </c>
      <c r="C141" t="s">
        <v>89</v>
      </c>
      <c r="D141" t="s">
        <v>90</v>
      </c>
      <c r="E141" t="s">
        <v>44</v>
      </c>
      <c r="F141" t="s">
        <v>45</v>
      </c>
      <c r="G141" t="s">
        <v>46</v>
      </c>
      <c r="H141">
        <v>2</v>
      </c>
      <c r="I141">
        <v>149.99</v>
      </c>
      <c r="J141" t="s">
        <v>26</v>
      </c>
      <c r="K141" t="s">
        <v>50</v>
      </c>
      <c r="L141" t="s">
        <v>27</v>
      </c>
      <c r="M141" s="3">
        <v>44848</v>
      </c>
      <c r="N141">
        <v>299.98</v>
      </c>
      <c r="O141">
        <v>10</v>
      </c>
      <c r="P141">
        <v>2022</v>
      </c>
    </row>
    <row r="142" spans="1:16" x14ac:dyDescent="0.3">
      <c r="A142" t="s">
        <v>281</v>
      </c>
      <c r="B142" s="3">
        <v>45605</v>
      </c>
      <c r="C142" t="s">
        <v>185</v>
      </c>
      <c r="D142" t="s">
        <v>186</v>
      </c>
      <c r="E142" t="s">
        <v>17</v>
      </c>
      <c r="F142" t="s">
        <v>18</v>
      </c>
      <c r="G142" t="s">
        <v>19</v>
      </c>
      <c r="H142">
        <v>1</v>
      </c>
      <c r="I142">
        <v>249.99</v>
      </c>
      <c r="J142" t="s">
        <v>26</v>
      </c>
      <c r="K142" t="s">
        <v>40</v>
      </c>
      <c r="L142" t="s">
        <v>27</v>
      </c>
      <c r="M142" s="3">
        <v>44828</v>
      </c>
      <c r="N142">
        <v>249.99</v>
      </c>
      <c r="O142">
        <v>9</v>
      </c>
      <c r="P142">
        <v>2022</v>
      </c>
    </row>
    <row r="143" spans="1:16" x14ac:dyDescent="0.3">
      <c r="A143" t="s">
        <v>282</v>
      </c>
      <c r="B143" s="3">
        <v>45607</v>
      </c>
      <c r="C143" t="s">
        <v>72</v>
      </c>
      <c r="D143" t="s">
        <v>73</v>
      </c>
      <c r="E143" t="s">
        <v>52</v>
      </c>
      <c r="F143" t="s">
        <v>53</v>
      </c>
      <c r="G143" t="s">
        <v>19</v>
      </c>
      <c r="H143">
        <v>3</v>
      </c>
      <c r="I143">
        <v>149.99</v>
      </c>
      <c r="J143" t="s">
        <v>20</v>
      </c>
      <c r="K143" t="s">
        <v>40</v>
      </c>
      <c r="L143" t="s">
        <v>22</v>
      </c>
      <c r="M143" s="3">
        <v>44769</v>
      </c>
      <c r="N143">
        <v>449.97</v>
      </c>
      <c r="O143">
        <v>7</v>
      </c>
      <c r="P143">
        <v>2022</v>
      </c>
    </row>
    <row r="144" spans="1:16" x14ac:dyDescent="0.3">
      <c r="A144" t="s">
        <v>283</v>
      </c>
      <c r="B144" s="3">
        <v>45607</v>
      </c>
      <c r="C144" t="s">
        <v>15</v>
      </c>
      <c r="D144" t="s">
        <v>16</v>
      </c>
      <c r="E144" t="s">
        <v>31</v>
      </c>
      <c r="F144" t="s">
        <v>32</v>
      </c>
      <c r="G144" t="s">
        <v>33</v>
      </c>
      <c r="H144">
        <v>5</v>
      </c>
      <c r="I144">
        <v>59.99</v>
      </c>
      <c r="J144" t="s">
        <v>34</v>
      </c>
      <c r="K144" t="s">
        <v>50</v>
      </c>
      <c r="L144" t="s">
        <v>27</v>
      </c>
      <c r="M144" s="3">
        <v>44694</v>
      </c>
      <c r="N144">
        <v>299.95</v>
      </c>
      <c r="O144">
        <v>5</v>
      </c>
      <c r="P144">
        <v>2022</v>
      </c>
    </row>
    <row r="145" spans="1:16" x14ac:dyDescent="0.3">
      <c r="A145" t="s">
        <v>284</v>
      </c>
      <c r="B145" s="3">
        <v>45607</v>
      </c>
      <c r="C145" t="s">
        <v>99</v>
      </c>
      <c r="D145" t="s">
        <v>100</v>
      </c>
      <c r="E145" t="s">
        <v>17</v>
      </c>
      <c r="F145" t="s">
        <v>18</v>
      </c>
      <c r="G145" t="s">
        <v>19</v>
      </c>
      <c r="H145">
        <v>4</v>
      </c>
      <c r="I145">
        <v>249.99</v>
      </c>
      <c r="J145" t="s">
        <v>26</v>
      </c>
      <c r="K145" t="s">
        <v>50</v>
      </c>
      <c r="L145" t="s">
        <v>36</v>
      </c>
      <c r="M145" s="3">
        <v>44659</v>
      </c>
      <c r="N145">
        <v>999.96</v>
      </c>
      <c r="O145">
        <v>4</v>
      </c>
      <c r="P145">
        <v>2022</v>
      </c>
    </row>
    <row r="146" spans="1:16" x14ac:dyDescent="0.3">
      <c r="A146" t="s">
        <v>285</v>
      </c>
      <c r="B146" s="3">
        <v>45608</v>
      </c>
      <c r="C146" t="s">
        <v>154</v>
      </c>
      <c r="D146" t="s">
        <v>155</v>
      </c>
      <c r="E146" t="s">
        <v>44</v>
      </c>
      <c r="F146" t="s">
        <v>45</v>
      </c>
      <c r="G146" t="s">
        <v>46</v>
      </c>
      <c r="H146">
        <v>5</v>
      </c>
      <c r="I146">
        <v>149.99</v>
      </c>
      <c r="J146" t="s">
        <v>34</v>
      </c>
      <c r="K146" t="s">
        <v>21</v>
      </c>
      <c r="L146" t="s">
        <v>22</v>
      </c>
      <c r="M146" s="3">
        <v>44901</v>
      </c>
      <c r="N146">
        <v>749.95</v>
      </c>
      <c r="O146">
        <v>12</v>
      </c>
      <c r="P146">
        <v>2022</v>
      </c>
    </row>
    <row r="147" spans="1:16" x14ac:dyDescent="0.3">
      <c r="A147" t="s">
        <v>286</v>
      </c>
      <c r="B147" s="3">
        <v>45608</v>
      </c>
      <c r="C147" t="s">
        <v>83</v>
      </c>
      <c r="D147" t="s">
        <v>84</v>
      </c>
      <c r="E147" t="s">
        <v>31</v>
      </c>
      <c r="F147" t="s">
        <v>32</v>
      </c>
      <c r="G147" t="s">
        <v>33</v>
      </c>
      <c r="H147">
        <v>3</v>
      </c>
      <c r="I147">
        <v>59.99</v>
      </c>
      <c r="J147" t="s">
        <v>57</v>
      </c>
      <c r="K147" t="s">
        <v>35</v>
      </c>
      <c r="L147" t="s">
        <v>36</v>
      </c>
      <c r="M147" s="3">
        <v>45260</v>
      </c>
      <c r="N147">
        <v>179.97</v>
      </c>
      <c r="O147">
        <v>11</v>
      </c>
      <c r="P147">
        <v>2023</v>
      </c>
    </row>
    <row r="148" spans="1:16" x14ac:dyDescent="0.3">
      <c r="A148" t="s">
        <v>287</v>
      </c>
      <c r="B148" s="3">
        <v>45613</v>
      </c>
      <c r="C148" t="s">
        <v>234</v>
      </c>
      <c r="D148" t="s">
        <v>235</v>
      </c>
      <c r="E148" t="s">
        <v>44</v>
      </c>
      <c r="F148" t="s">
        <v>45</v>
      </c>
      <c r="G148" t="s">
        <v>46</v>
      </c>
      <c r="H148">
        <v>5</v>
      </c>
      <c r="I148">
        <v>149.99</v>
      </c>
      <c r="J148" t="s">
        <v>20</v>
      </c>
      <c r="K148" t="s">
        <v>40</v>
      </c>
      <c r="L148" t="s">
        <v>22</v>
      </c>
      <c r="M148" s="3">
        <v>44869</v>
      </c>
      <c r="N148">
        <v>749.95</v>
      </c>
      <c r="O148">
        <v>11</v>
      </c>
      <c r="P148">
        <v>2022</v>
      </c>
    </row>
    <row r="149" spans="1:16" x14ac:dyDescent="0.3">
      <c r="A149" t="s">
        <v>288</v>
      </c>
      <c r="B149" s="3">
        <v>45613</v>
      </c>
      <c r="C149" t="s">
        <v>86</v>
      </c>
      <c r="D149" t="s">
        <v>87</v>
      </c>
      <c r="E149" t="s">
        <v>80</v>
      </c>
      <c r="F149" t="s">
        <v>81</v>
      </c>
      <c r="G149" t="s">
        <v>19</v>
      </c>
      <c r="H149">
        <v>2</v>
      </c>
      <c r="I149">
        <v>699.99</v>
      </c>
      <c r="J149" t="s">
        <v>34</v>
      </c>
      <c r="K149" t="s">
        <v>50</v>
      </c>
      <c r="L149" t="s">
        <v>36</v>
      </c>
      <c r="M149" s="3">
        <v>44770</v>
      </c>
      <c r="N149">
        <v>1399.98</v>
      </c>
      <c r="O149">
        <v>7</v>
      </c>
      <c r="P149">
        <v>2022</v>
      </c>
    </row>
    <row r="150" spans="1:16" x14ac:dyDescent="0.3">
      <c r="A150" t="s">
        <v>289</v>
      </c>
      <c r="B150" s="3">
        <v>45617</v>
      </c>
      <c r="C150" t="s">
        <v>123</v>
      </c>
      <c r="D150" t="s">
        <v>124</v>
      </c>
      <c r="E150" t="s">
        <v>126</v>
      </c>
      <c r="F150" t="s">
        <v>127</v>
      </c>
      <c r="G150" t="s">
        <v>46</v>
      </c>
      <c r="H150">
        <v>4</v>
      </c>
      <c r="I150">
        <v>199.99</v>
      </c>
      <c r="J150" t="s">
        <v>57</v>
      </c>
      <c r="K150" t="s">
        <v>21</v>
      </c>
      <c r="L150" t="s">
        <v>27</v>
      </c>
      <c r="M150" s="3">
        <v>44427</v>
      </c>
      <c r="N150">
        <v>799.96</v>
      </c>
      <c r="O150">
        <v>8</v>
      </c>
      <c r="P150">
        <v>2021</v>
      </c>
    </row>
    <row r="151" spans="1:16" x14ac:dyDescent="0.3">
      <c r="A151" t="s">
        <v>290</v>
      </c>
      <c r="B151" s="3">
        <v>45619</v>
      </c>
      <c r="C151" t="s">
        <v>192</v>
      </c>
      <c r="D151" t="s">
        <v>193</v>
      </c>
      <c r="E151" t="s">
        <v>31</v>
      </c>
      <c r="F151" t="s">
        <v>32</v>
      </c>
      <c r="G151" t="s">
        <v>33</v>
      </c>
      <c r="H151">
        <v>1</v>
      </c>
      <c r="I151">
        <v>59.99</v>
      </c>
      <c r="J151" t="s">
        <v>57</v>
      </c>
      <c r="K151" t="s">
        <v>50</v>
      </c>
      <c r="L151" t="s">
        <v>36</v>
      </c>
      <c r="M151" s="3">
        <v>44560</v>
      </c>
      <c r="N151">
        <v>59.99</v>
      </c>
      <c r="O151">
        <v>12</v>
      </c>
      <c r="P151">
        <v>2021</v>
      </c>
    </row>
    <row r="152" spans="1:16"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c r="O152">
        <v>1</v>
      </c>
      <c r="P152">
        <v>2022</v>
      </c>
    </row>
    <row r="153" spans="1:16" x14ac:dyDescent="0.3">
      <c r="A153" t="s">
        <v>292</v>
      </c>
      <c r="B153" s="3">
        <v>45622</v>
      </c>
      <c r="C153" t="s">
        <v>293</v>
      </c>
      <c r="D153" t="s">
        <v>294</v>
      </c>
      <c r="E153" t="s">
        <v>17</v>
      </c>
      <c r="F153" t="s">
        <v>18</v>
      </c>
      <c r="G153" t="s">
        <v>19</v>
      </c>
      <c r="H153">
        <v>5</v>
      </c>
      <c r="I153">
        <v>249.99</v>
      </c>
      <c r="J153" t="s">
        <v>26</v>
      </c>
      <c r="K153" t="s">
        <v>40</v>
      </c>
      <c r="L153" t="s">
        <v>22</v>
      </c>
      <c r="M153" s="3">
        <v>44873</v>
      </c>
      <c r="N153">
        <v>1249.95</v>
      </c>
      <c r="O153">
        <v>11</v>
      </c>
      <c r="P153">
        <v>2022</v>
      </c>
    </row>
    <row r="154" spans="1:16" x14ac:dyDescent="0.3">
      <c r="A154" t="s">
        <v>295</v>
      </c>
      <c r="B154" s="3">
        <v>45623</v>
      </c>
      <c r="C154" t="s">
        <v>112</v>
      </c>
      <c r="D154" t="s">
        <v>113</v>
      </c>
      <c r="E154" t="s">
        <v>44</v>
      </c>
      <c r="F154" t="s">
        <v>45</v>
      </c>
      <c r="G154" t="s">
        <v>46</v>
      </c>
      <c r="H154">
        <v>2</v>
      </c>
      <c r="I154">
        <v>149.99</v>
      </c>
      <c r="J154" t="s">
        <v>20</v>
      </c>
      <c r="K154" t="s">
        <v>35</v>
      </c>
      <c r="L154" t="s">
        <v>36</v>
      </c>
      <c r="M154" s="3">
        <v>45101</v>
      </c>
      <c r="N154">
        <v>299.98</v>
      </c>
      <c r="O154">
        <v>6</v>
      </c>
      <c r="P154">
        <v>2023</v>
      </c>
    </row>
    <row r="155" spans="1:16" x14ac:dyDescent="0.3">
      <c r="A155" t="s">
        <v>296</v>
      </c>
      <c r="B155" s="3">
        <v>45627</v>
      </c>
      <c r="C155" t="s">
        <v>29</v>
      </c>
      <c r="D155" t="s">
        <v>30</v>
      </c>
      <c r="E155" t="s">
        <v>105</v>
      </c>
      <c r="F155" t="s">
        <v>106</v>
      </c>
      <c r="G155" t="s">
        <v>46</v>
      </c>
      <c r="H155">
        <v>3</v>
      </c>
      <c r="I155">
        <v>299.99</v>
      </c>
      <c r="J155" t="s">
        <v>20</v>
      </c>
      <c r="K155" t="s">
        <v>35</v>
      </c>
      <c r="L155" t="s">
        <v>27</v>
      </c>
      <c r="M155" s="3">
        <v>44659</v>
      </c>
      <c r="N155">
        <v>899.97</v>
      </c>
      <c r="O155">
        <v>4</v>
      </c>
      <c r="P155">
        <v>2022</v>
      </c>
    </row>
    <row r="156" spans="1:16" x14ac:dyDescent="0.3">
      <c r="A156" t="s">
        <v>297</v>
      </c>
      <c r="B156" s="3">
        <v>45627</v>
      </c>
      <c r="C156" t="s">
        <v>55</v>
      </c>
      <c r="D156" t="s">
        <v>56</v>
      </c>
      <c r="E156" t="s">
        <v>17</v>
      </c>
      <c r="F156" t="s">
        <v>18</v>
      </c>
      <c r="G156" t="s">
        <v>19</v>
      </c>
      <c r="H156">
        <v>5</v>
      </c>
      <c r="I156">
        <v>249.99</v>
      </c>
      <c r="J156" t="s">
        <v>20</v>
      </c>
      <c r="K156" t="s">
        <v>21</v>
      </c>
      <c r="L156" t="s">
        <v>27</v>
      </c>
      <c r="M156" s="3">
        <v>44485</v>
      </c>
      <c r="N156">
        <v>1249.95</v>
      </c>
      <c r="O156">
        <v>10</v>
      </c>
      <c r="P156">
        <v>2021</v>
      </c>
    </row>
    <row r="157" spans="1:16" x14ac:dyDescent="0.3">
      <c r="A157" t="s">
        <v>298</v>
      </c>
      <c r="B157" s="3">
        <v>45627</v>
      </c>
      <c r="C157" t="s">
        <v>24</v>
      </c>
      <c r="D157" t="s">
        <v>25</v>
      </c>
      <c r="E157" t="s">
        <v>52</v>
      </c>
      <c r="F157" t="s">
        <v>53</v>
      </c>
      <c r="G157" t="s">
        <v>19</v>
      </c>
      <c r="H157">
        <v>2</v>
      </c>
      <c r="I157">
        <v>149.99</v>
      </c>
      <c r="J157" t="s">
        <v>20</v>
      </c>
      <c r="K157" t="s">
        <v>35</v>
      </c>
      <c r="L157" t="s">
        <v>27</v>
      </c>
      <c r="M157" s="3">
        <v>44475</v>
      </c>
      <c r="N157">
        <v>299.98</v>
      </c>
      <c r="O157">
        <v>10</v>
      </c>
      <c r="P157">
        <v>2021</v>
      </c>
    </row>
    <row r="158" spans="1:16" x14ac:dyDescent="0.3">
      <c r="A158" t="s">
        <v>299</v>
      </c>
      <c r="B158" s="3">
        <v>45627</v>
      </c>
      <c r="C158" t="s">
        <v>86</v>
      </c>
      <c r="D158" t="s">
        <v>87</v>
      </c>
      <c r="E158" t="s">
        <v>80</v>
      </c>
      <c r="F158" t="s">
        <v>81</v>
      </c>
      <c r="G158" t="s">
        <v>19</v>
      </c>
      <c r="H158">
        <v>5</v>
      </c>
      <c r="I158">
        <v>699.99</v>
      </c>
      <c r="J158" t="s">
        <v>57</v>
      </c>
      <c r="K158" t="s">
        <v>50</v>
      </c>
      <c r="L158" t="s">
        <v>36</v>
      </c>
      <c r="M158" s="3">
        <v>44944</v>
      </c>
      <c r="N158">
        <v>3499.95</v>
      </c>
      <c r="O158">
        <v>1</v>
      </c>
      <c r="P158">
        <v>2023</v>
      </c>
    </row>
    <row r="159" spans="1:16" x14ac:dyDescent="0.3">
      <c r="A159" t="s">
        <v>300</v>
      </c>
      <c r="B159" s="3">
        <v>45629</v>
      </c>
      <c r="C159" t="s">
        <v>252</v>
      </c>
      <c r="D159" t="s">
        <v>253</v>
      </c>
      <c r="E159" t="s">
        <v>17</v>
      </c>
      <c r="F159" t="s">
        <v>18</v>
      </c>
      <c r="G159" t="s">
        <v>19</v>
      </c>
      <c r="H159">
        <v>4</v>
      </c>
      <c r="I159">
        <v>249.99</v>
      </c>
      <c r="J159" t="s">
        <v>34</v>
      </c>
      <c r="K159" t="s">
        <v>63</v>
      </c>
      <c r="L159" t="s">
        <v>27</v>
      </c>
      <c r="M159" s="3">
        <v>45098</v>
      </c>
      <c r="N159">
        <v>999.96</v>
      </c>
      <c r="O159">
        <v>6</v>
      </c>
      <c r="P159">
        <v>2023</v>
      </c>
    </row>
    <row r="160" spans="1:16" x14ac:dyDescent="0.3">
      <c r="A160" t="s">
        <v>301</v>
      </c>
      <c r="B160" s="3">
        <v>45630</v>
      </c>
      <c r="C160" t="s">
        <v>48</v>
      </c>
      <c r="D160" t="s">
        <v>49</v>
      </c>
      <c r="E160" t="s">
        <v>80</v>
      </c>
      <c r="F160" t="s">
        <v>81</v>
      </c>
      <c r="G160" t="s">
        <v>19</v>
      </c>
      <c r="H160">
        <v>4</v>
      </c>
      <c r="I160">
        <v>699.99</v>
      </c>
      <c r="J160" t="s">
        <v>26</v>
      </c>
      <c r="K160" t="s">
        <v>40</v>
      </c>
      <c r="L160" t="s">
        <v>27</v>
      </c>
      <c r="M160" s="3">
        <v>44703</v>
      </c>
      <c r="N160">
        <v>2799.96</v>
      </c>
      <c r="O160">
        <v>5</v>
      </c>
      <c r="P160">
        <v>2022</v>
      </c>
    </row>
    <row r="161" spans="1:16" x14ac:dyDescent="0.3">
      <c r="A161" t="s">
        <v>302</v>
      </c>
      <c r="B161" s="3">
        <v>45635</v>
      </c>
      <c r="C161" t="s">
        <v>108</v>
      </c>
      <c r="D161" t="s">
        <v>109</v>
      </c>
      <c r="E161" t="s">
        <v>17</v>
      </c>
      <c r="F161" t="s">
        <v>18</v>
      </c>
      <c r="G161" t="s">
        <v>19</v>
      </c>
      <c r="H161">
        <v>2</v>
      </c>
      <c r="I161">
        <v>249.99</v>
      </c>
      <c r="J161" t="s">
        <v>26</v>
      </c>
      <c r="K161" t="s">
        <v>21</v>
      </c>
      <c r="L161" t="s">
        <v>27</v>
      </c>
      <c r="M161" s="3">
        <v>44396</v>
      </c>
      <c r="N161">
        <v>499.98</v>
      </c>
      <c r="O161">
        <v>7</v>
      </c>
      <c r="P161">
        <v>2021</v>
      </c>
    </row>
    <row r="162" spans="1:16" x14ac:dyDescent="0.3">
      <c r="A162" t="s">
        <v>303</v>
      </c>
      <c r="B162" s="3">
        <v>45635</v>
      </c>
      <c r="C162" t="s">
        <v>304</v>
      </c>
      <c r="D162" t="s">
        <v>305</v>
      </c>
      <c r="E162" t="s">
        <v>31</v>
      </c>
      <c r="F162" t="s">
        <v>32</v>
      </c>
      <c r="G162" t="s">
        <v>33</v>
      </c>
      <c r="H162">
        <v>3</v>
      </c>
      <c r="I162">
        <v>59.99</v>
      </c>
      <c r="J162" t="s">
        <v>20</v>
      </c>
      <c r="K162" t="s">
        <v>21</v>
      </c>
      <c r="L162" t="s">
        <v>27</v>
      </c>
      <c r="M162" s="3">
        <v>45052</v>
      </c>
      <c r="N162">
        <v>179.97</v>
      </c>
      <c r="O162">
        <v>5</v>
      </c>
      <c r="P162">
        <v>2023</v>
      </c>
    </row>
    <row r="163" spans="1:16"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c r="O163">
        <v>12</v>
      </c>
      <c r="P163">
        <v>2022</v>
      </c>
    </row>
    <row r="164" spans="1:16"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c r="O164">
        <v>8</v>
      </c>
      <c r="P164">
        <v>2022</v>
      </c>
    </row>
    <row r="165" spans="1:16" x14ac:dyDescent="0.3">
      <c r="A165" t="s">
        <v>308</v>
      </c>
      <c r="B165" s="3">
        <v>45638</v>
      </c>
      <c r="C165" t="s">
        <v>72</v>
      </c>
      <c r="D165" t="s">
        <v>73</v>
      </c>
      <c r="E165" t="s">
        <v>61</v>
      </c>
      <c r="F165" t="s">
        <v>62</v>
      </c>
      <c r="G165" t="s">
        <v>19</v>
      </c>
      <c r="H165">
        <v>2</v>
      </c>
      <c r="I165">
        <v>899.99</v>
      </c>
      <c r="J165" t="s">
        <v>20</v>
      </c>
      <c r="K165" t="s">
        <v>40</v>
      </c>
      <c r="L165" t="s">
        <v>22</v>
      </c>
      <c r="M165" s="3">
        <v>44406</v>
      </c>
      <c r="N165">
        <v>1799.98</v>
      </c>
      <c r="O165">
        <v>7</v>
      </c>
      <c r="P165">
        <v>2021</v>
      </c>
    </row>
    <row r="166" spans="1:16" x14ac:dyDescent="0.3">
      <c r="A166" t="s">
        <v>309</v>
      </c>
      <c r="B166" s="3">
        <v>45641</v>
      </c>
      <c r="C166" t="s">
        <v>182</v>
      </c>
      <c r="D166" t="s">
        <v>183</v>
      </c>
      <c r="E166" t="s">
        <v>44</v>
      </c>
      <c r="F166" t="s">
        <v>45</v>
      </c>
      <c r="G166" t="s">
        <v>46</v>
      </c>
      <c r="H166">
        <v>1</v>
      </c>
      <c r="I166">
        <v>149.99</v>
      </c>
      <c r="J166" t="s">
        <v>57</v>
      </c>
      <c r="K166" t="s">
        <v>63</v>
      </c>
      <c r="L166" t="s">
        <v>36</v>
      </c>
      <c r="M166" s="3">
        <v>45200</v>
      </c>
      <c r="N166">
        <v>149.99</v>
      </c>
      <c r="O166">
        <v>10</v>
      </c>
      <c r="P166">
        <v>2023</v>
      </c>
    </row>
    <row r="167" spans="1:16" x14ac:dyDescent="0.3">
      <c r="A167" t="s">
        <v>310</v>
      </c>
      <c r="B167" s="3">
        <v>45641</v>
      </c>
      <c r="C167" t="s">
        <v>138</v>
      </c>
      <c r="D167" t="s">
        <v>139</v>
      </c>
      <c r="E167" t="s">
        <v>105</v>
      </c>
      <c r="F167" t="s">
        <v>106</v>
      </c>
      <c r="G167" t="s">
        <v>46</v>
      </c>
      <c r="H167">
        <v>2</v>
      </c>
      <c r="I167">
        <v>299.99</v>
      </c>
      <c r="J167" t="s">
        <v>20</v>
      </c>
      <c r="K167" t="s">
        <v>63</v>
      </c>
      <c r="L167" t="s">
        <v>27</v>
      </c>
      <c r="M167" s="3">
        <v>44724</v>
      </c>
      <c r="N167">
        <v>599.98</v>
      </c>
      <c r="O167">
        <v>6</v>
      </c>
      <c r="P167">
        <v>2022</v>
      </c>
    </row>
    <row r="168" spans="1:16" x14ac:dyDescent="0.3">
      <c r="A168" t="s">
        <v>311</v>
      </c>
      <c r="B168" s="3">
        <v>45644</v>
      </c>
      <c r="C168" t="s">
        <v>132</v>
      </c>
      <c r="D168" t="s">
        <v>133</v>
      </c>
      <c r="E168" t="s">
        <v>31</v>
      </c>
      <c r="F168" t="s">
        <v>32</v>
      </c>
      <c r="G168" t="s">
        <v>33</v>
      </c>
      <c r="H168">
        <v>2</v>
      </c>
      <c r="I168">
        <v>59.99</v>
      </c>
      <c r="J168" t="s">
        <v>20</v>
      </c>
      <c r="K168" t="s">
        <v>50</v>
      </c>
      <c r="L168" t="s">
        <v>22</v>
      </c>
      <c r="M168" s="3">
        <v>45191</v>
      </c>
      <c r="N168">
        <v>119.98</v>
      </c>
      <c r="O168">
        <v>9</v>
      </c>
      <c r="P168">
        <v>2023</v>
      </c>
    </row>
    <row r="169" spans="1:16" x14ac:dyDescent="0.3">
      <c r="A169" t="s">
        <v>312</v>
      </c>
      <c r="B169" s="3">
        <v>45645</v>
      </c>
      <c r="C169" t="s">
        <v>182</v>
      </c>
      <c r="D169" t="s">
        <v>183</v>
      </c>
      <c r="E169" t="s">
        <v>117</v>
      </c>
      <c r="F169" t="s">
        <v>118</v>
      </c>
      <c r="G169" t="s">
        <v>19</v>
      </c>
      <c r="H169">
        <v>1</v>
      </c>
      <c r="I169">
        <v>89.99</v>
      </c>
      <c r="J169" t="s">
        <v>57</v>
      </c>
      <c r="K169" t="s">
        <v>21</v>
      </c>
      <c r="L169" t="s">
        <v>36</v>
      </c>
      <c r="M169" s="3">
        <v>44760</v>
      </c>
      <c r="N169">
        <v>89.99</v>
      </c>
      <c r="O169">
        <v>7</v>
      </c>
      <c r="P169">
        <v>2022</v>
      </c>
    </row>
    <row r="170" spans="1:16" x14ac:dyDescent="0.3">
      <c r="A170" t="s">
        <v>313</v>
      </c>
      <c r="B170" s="3">
        <v>45645</v>
      </c>
      <c r="C170" t="s">
        <v>147</v>
      </c>
      <c r="D170" t="s">
        <v>148</v>
      </c>
      <c r="E170" t="s">
        <v>61</v>
      </c>
      <c r="F170" t="s">
        <v>62</v>
      </c>
      <c r="G170" t="s">
        <v>19</v>
      </c>
      <c r="H170">
        <v>5</v>
      </c>
      <c r="I170">
        <v>899.99</v>
      </c>
      <c r="J170" t="s">
        <v>57</v>
      </c>
      <c r="K170" t="s">
        <v>63</v>
      </c>
      <c r="L170" t="s">
        <v>36</v>
      </c>
      <c r="M170" s="3">
        <v>44625</v>
      </c>
      <c r="N170">
        <v>4499.95</v>
      </c>
      <c r="O170">
        <v>3</v>
      </c>
      <c r="P170">
        <v>2022</v>
      </c>
    </row>
    <row r="171" spans="1:16" x14ac:dyDescent="0.3">
      <c r="A171" t="s">
        <v>314</v>
      </c>
      <c r="B171" s="3">
        <v>45646</v>
      </c>
      <c r="C171" t="s">
        <v>42</v>
      </c>
      <c r="D171" t="s">
        <v>43</v>
      </c>
      <c r="E171" t="s">
        <v>44</v>
      </c>
      <c r="F171" t="s">
        <v>45</v>
      </c>
      <c r="G171" t="s">
        <v>46</v>
      </c>
      <c r="H171">
        <v>2</v>
      </c>
      <c r="I171">
        <v>149.99</v>
      </c>
      <c r="J171" t="s">
        <v>20</v>
      </c>
      <c r="K171" t="s">
        <v>35</v>
      </c>
      <c r="L171" t="s">
        <v>22</v>
      </c>
      <c r="M171" s="3">
        <v>45239</v>
      </c>
      <c r="N171">
        <v>299.98</v>
      </c>
      <c r="O171">
        <v>11</v>
      </c>
      <c r="P171">
        <v>2023</v>
      </c>
    </row>
    <row r="172" spans="1:16" x14ac:dyDescent="0.3">
      <c r="A172" t="s">
        <v>315</v>
      </c>
      <c r="B172" s="3">
        <v>45648</v>
      </c>
      <c r="C172" t="s">
        <v>112</v>
      </c>
      <c r="D172" t="s">
        <v>113</v>
      </c>
      <c r="E172" t="s">
        <v>52</v>
      </c>
      <c r="F172" t="s">
        <v>53</v>
      </c>
      <c r="G172" t="s">
        <v>19</v>
      </c>
      <c r="H172">
        <v>2</v>
      </c>
      <c r="I172">
        <v>149.99</v>
      </c>
      <c r="J172" t="s">
        <v>57</v>
      </c>
      <c r="K172" t="s">
        <v>50</v>
      </c>
      <c r="L172" t="s">
        <v>27</v>
      </c>
      <c r="M172" s="3">
        <v>45280</v>
      </c>
      <c r="N172">
        <v>299.98</v>
      </c>
      <c r="O172">
        <v>12</v>
      </c>
      <c r="P172">
        <v>2023</v>
      </c>
    </row>
    <row r="173" spans="1:16" x14ac:dyDescent="0.3">
      <c r="A173" t="s">
        <v>316</v>
      </c>
      <c r="B173" s="3">
        <v>45648</v>
      </c>
      <c r="C173" t="s">
        <v>182</v>
      </c>
      <c r="D173" t="s">
        <v>183</v>
      </c>
      <c r="E173" t="s">
        <v>44</v>
      </c>
      <c r="F173" t="s">
        <v>45</v>
      </c>
      <c r="G173" t="s">
        <v>46</v>
      </c>
      <c r="H173">
        <v>3</v>
      </c>
      <c r="I173">
        <v>149.99</v>
      </c>
      <c r="J173" t="s">
        <v>57</v>
      </c>
      <c r="K173" t="s">
        <v>40</v>
      </c>
      <c r="L173" t="s">
        <v>36</v>
      </c>
      <c r="M173" s="3">
        <v>44522</v>
      </c>
      <c r="N173">
        <v>449.97</v>
      </c>
      <c r="O173">
        <v>11</v>
      </c>
      <c r="P173">
        <v>2021</v>
      </c>
    </row>
    <row r="174" spans="1:16" x14ac:dyDescent="0.3">
      <c r="A174" t="s">
        <v>317</v>
      </c>
      <c r="B174" s="3">
        <v>45649</v>
      </c>
      <c r="C174" t="s">
        <v>29</v>
      </c>
      <c r="D174" t="s">
        <v>30</v>
      </c>
      <c r="E174" t="s">
        <v>105</v>
      </c>
      <c r="F174" t="s">
        <v>106</v>
      </c>
      <c r="G174" t="s">
        <v>46</v>
      </c>
      <c r="H174">
        <v>2</v>
      </c>
      <c r="I174">
        <v>299.99</v>
      </c>
      <c r="J174" t="s">
        <v>34</v>
      </c>
      <c r="K174" t="s">
        <v>35</v>
      </c>
      <c r="L174" t="s">
        <v>22</v>
      </c>
      <c r="M174" s="3">
        <v>44721</v>
      </c>
      <c r="N174">
        <v>599.98</v>
      </c>
      <c r="O174">
        <v>6</v>
      </c>
      <c r="P174">
        <v>2022</v>
      </c>
    </row>
    <row r="175" spans="1:16" x14ac:dyDescent="0.3">
      <c r="A175" t="s">
        <v>318</v>
      </c>
      <c r="B175" s="3">
        <v>45654</v>
      </c>
      <c r="C175" t="s">
        <v>42</v>
      </c>
      <c r="D175" t="s">
        <v>43</v>
      </c>
      <c r="E175" t="s">
        <v>105</v>
      </c>
      <c r="F175" t="s">
        <v>106</v>
      </c>
      <c r="G175" t="s">
        <v>46</v>
      </c>
      <c r="H175">
        <v>2</v>
      </c>
      <c r="I175">
        <v>299.99</v>
      </c>
      <c r="J175" t="s">
        <v>20</v>
      </c>
      <c r="K175" t="s">
        <v>50</v>
      </c>
      <c r="L175" t="s">
        <v>22</v>
      </c>
      <c r="M175" s="3">
        <v>44771</v>
      </c>
      <c r="N175">
        <v>599.98</v>
      </c>
      <c r="O175">
        <v>7</v>
      </c>
      <c r="P175">
        <v>2022</v>
      </c>
    </row>
    <row r="176" spans="1:16" x14ac:dyDescent="0.3">
      <c r="A176" t="s">
        <v>319</v>
      </c>
      <c r="B176" s="3">
        <v>45654</v>
      </c>
      <c r="C176" t="s">
        <v>120</v>
      </c>
      <c r="D176" t="s">
        <v>121</v>
      </c>
      <c r="E176" t="s">
        <v>126</v>
      </c>
      <c r="F176" t="s">
        <v>127</v>
      </c>
      <c r="G176" t="s">
        <v>46</v>
      </c>
      <c r="H176">
        <v>4</v>
      </c>
      <c r="I176">
        <v>199.99</v>
      </c>
      <c r="J176" t="s">
        <v>26</v>
      </c>
      <c r="K176" t="s">
        <v>21</v>
      </c>
      <c r="L176" t="s">
        <v>22</v>
      </c>
      <c r="M176" s="3">
        <v>44523</v>
      </c>
      <c r="N176">
        <v>799.96</v>
      </c>
      <c r="O176">
        <v>11</v>
      </c>
      <c r="P176">
        <v>2021</v>
      </c>
    </row>
    <row r="177" spans="1:16" x14ac:dyDescent="0.3">
      <c r="A177" t="s">
        <v>320</v>
      </c>
      <c r="B177" s="3">
        <v>45655</v>
      </c>
      <c r="C177" t="s">
        <v>59</v>
      </c>
      <c r="D177" t="s">
        <v>60</v>
      </c>
      <c r="E177" t="s">
        <v>117</v>
      </c>
      <c r="F177" t="s">
        <v>118</v>
      </c>
      <c r="G177" t="s">
        <v>19</v>
      </c>
      <c r="H177">
        <v>1</v>
      </c>
      <c r="I177">
        <v>89.99</v>
      </c>
      <c r="J177" t="s">
        <v>26</v>
      </c>
      <c r="K177" t="s">
        <v>35</v>
      </c>
      <c r="L177" t="s">
        <v>27</v>
      </c>
      <c r="M177" s="3">
        <v>44591</v>
      </c>
      <c r="N177">
        <v>89.99</v>
      </c>
      <c r="O177">
        <v>1</v>
      </c>
      <c r="P177">
        <v>2022</v>
      </c>
    </row>
    <row r="178" spans="1:16" x14ac:dyDescent="0.3">
      <c r="A178" t="s">
        <v>321</v>
      </c>
      <c r="B178" s="3">
        <v>45655</v>
      </c>
      <c r="C178" t="s">
        <v>108</v>
      </c>
      <c r="D178" t="s">
        <v>109</v>
      </c>
      <c r="E178" t="s">
        <v>44</v>
      </c>
      <c r="F178" t="s">
        <v>45</v>
      </c>
      <c r="G178" t="s">
        <v>46</v>
      </c>
      <c r="H178">
        <v>5</v>
      </c>
      <c r="I178">
        <v>149.99</v>
      </c>
      <c r="J178" t="s">
        <v>20</v>
      </c>
      <c r="K178" t="s">
        <v>21</v>
      </c>
      <c r="L178" t="s">
        <v>27</v>
      </c>
      <c r="M178" s="3">
        <v>45347</v>
      </c>
      <c r="N178">
        <v>749.95</v>
      </c>
      <c r="O178">
        <v>2</v>
      </c>
      <c r="P178">
        <v>2024</v>
      </c>
    </row>
    <row r="179" spans="1:16" x14ac:dyDescent="0.3">
      <c r="A179" t="s">
        <v>322</v>
      </c>
      <c r="B179" s="3">
        <v>45657</v>
      </c>
      <c r="C179" t="s">
        <v>86</v>
      </c>
      <c r="D179" t="s">
        <v>87</v>
      </c>
      <c r="E179" t="s">
        <v>61</v>
      </c>
      <c r="F179" t="s">
        <v>62</v>
      </c>
      <c r="G179" t="s">
        <v>19</v>
      </c>
      <c r="H179">
        <v>1</v>
      </c>
      <c r="I179">
        <v>899.99</v>
      </c>
      <c r="J179" t="s">
        <v>34</v>
      </c>
      <c r="K179" t="s">
        <v>40</v>
      </c>
      <c r="L179" t="s">
        <v>27</v>
      </c>
      <c r="M179" s="3">
        <v>45050</v>
      </c>
      <c r="N179">
        <v>899.99</v>
      </c>
      <c r="O179">
        <v>5</v>
      </c>
      <c r="P179">
        <v>2023</v>
      </c>
    </row>
    <row r="180" spans="1:16" x14ac:dyDescent="0.3">
      <c r="A180" t="s">
        <v>323</v>
      </c>
      <c r="B180" s="3">
        <v>45660</v>
      </c>
      <c r="C180" t="s">
        <v>147</v>
      </c>
      <c r="D180" t="s">
        <v>148</v>
      </c>
      <c r="E180" t="s">
        <v>117</v>
      </c>
      <c r="F180" t="s">
        <v>118</v>
      </c>
      <c r="G180" t="s">
        <v>19</v>
      </c>
      <c r="H180">
        <v>2</v>
      </c>
      <c r="I180">
        <v>89.99</v>
      </c>
      <c r="J180" t="s">
        <v>26</v>
      </c>
      <c r="K180" t="s">
        <v>35</v>
      </c>
      <c r="L180" t="s">
        <v>27</v>
      </c>
      <c r="M180" s="3">
        <v>44564</v>
      </c>
      <c r="N180">
        <v>179.98</v>
      </c>
      <c r="O180">
        <v>1</v>
      </c>
      <c r="P180">
        <v>2022</v>
      </c>
    </row>
    <row r="181" spans="1:16" x14ac:dyDescent="0.3">
      <c r="A181" t="s">
        <v>324</v>
      </c>
      <c r="B181" s="3">
        <v>45661</v>
      </c>
      <c r="C181" t="s">
        <v>325</v>
      </c>
      <c r="D181" t="s">
        <v>326</v>
      </c>
      <c r="E181" t="s">
        <v>61</v>
      </c>
      <c r="F181" t="s">
        <v>62</v>
      </c>
      <c r="G181" t="s">
        <v>19</v>
      </c>
      <c r="H181">
        <v>1</v>
      </c>
      <c r="I181">
        <v>899.99</v>
      </c>
      <c r="J181" t="s">
        <v>34</v>
      </c>
      <c r="K181" t="s">
        <v>40</v>
      </c>
      <c r="L181" t="s">
        <v>36</v>
      </c>
      <c r="M181" s="3">
        <v>44752</v>
      </c>
      <c r="N181">
        <v>899.99</v>
      </c>
      <c r="O181">
        <v>7</v>
      </c>
      <c r="P181">
        <v>2022</v>
      </c>
    </row>
    <row r="182" spans="1:16" x14ac:dyDescent="0.3">
      <c r="A182" t="s">
        <v>327</v>
      </c>
      <c r="B182" s="3">
        <v>45663</v>
      </c>
      <c r="C182" t="s">
        <v>129</v>
      </c>
      <c r="D182" t="s">
        <v>130</v>
      </c>
      <c r="E182" t="s">
        <v>52</v>
      </c>
      <c r="F182" t="s">
        <v>53</v>
      </c>
      <c r="G182" t="s">
        <v>19</v>
      </c>
      <c r="H182">
        <v>5</v>
      </c>
      <c r="I182">
        <v>149.99</v>
      </c>
      <c r="J182" t="s">
        <v>34</v>
      </c>
      <c r="K182" t="s">
        <v>63</v>
      </c>
      <c r="L182" t="s">
        <v>27</v>
      </c>
      <c r="M182" s="3">
        <v>44824</v>
      </c>
      <c r="N182">
        <v>749.95</v>
      </c>
      <c r="O182">
        <v>9</v>
      </c>
      <c r="P182">
        <v>2022</v>
      </c>
    </row>
    <row r="183" spans="1:16" x14ac:dyDescent="0.3">
      <c r="A183" t="s">
        <v>328</v>
      </c>
      <c r="B183" s="3">
        <v>45663</v>
      </c>
      <c r="C183" t="s">
        <v>42</v>
      </c>
      <c r="D183" t="s">
        <v>43</v>
      </c>
      <c r="E183" t="s">
        <v>105</v>
      </c>
      <c r="F183" t="s">
        <v>106</v>
      </c>
      <c r="G183" t="s">
        <v>46</v>
      </c>
      <c r="H183">
        <v>3</v>
      </c>
      <c r="I183">
        <v>299.99</v>
      </c>
      <c r="J183" t="s">
        <v>20</v>
      </c>
      <c r="K183" t="s">
        <v>35</v>
      </c>
      <c r="L183" t="s">
        <v>36</v>
      </c>
      <c r="M183" s="3">
        <v>44422</v>
      </c>
      <c r="N183">
        <v>899.97</v>
      </c>
      <c r="O183">
        <v>8</v>
      </c>
      <c r="P183">
        <v>2021</v>
      </c>
    </row>
    <row r="184" spans="1:16"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c r="O184">
        <v>6</v>
      </c>
      <c r="P184">
        <v>2023</v>
      </c>
    </row>
    <row r="185" spans="1:16" x14ac:dyDescent="0.3">
      <c r="A185" t="s">
        <v>330</v>
      </c>
      <c r="B185" s="3">
        <v>45667</v>
      </c>
      <c r="C185" t="s">
        <v>108</v>
      </c>
      <c r="D185" t="s">
        <v>109</v>
      </c>
      <c r="E185" t="s">
        <v>126</v>
      </c>
      <c r="F185" t="s">
        <v>127</v>
      </c>
      <c r="G185" t="s">
        <v>46</v>
      </c>
      <c r="H185">
        <v>5</v>
      </c>
      <c r="I185">
        <v>199.99</v>
      </c>
      <c r="J185" t="s">
        <v>34</v>
      </c>
      <c r="K185" t="s">
        <v>21</v>
      </c>
      <c r="L185" t="s">
        <v>36</v>
      </c>
      <c r="M185" s="3">
        <v>44633</v>
      </c>
      <c r="N185">
        <v>999.95</v>
      </c>
      <c r="O185">
        <v>3</v>
      </c>
      <c r="P185">
        <v>2022</v>
      </c>
    </row>
    <row r="186" spans="1:16" x14ac:dyDescent="0.3">
      <c r="A186" t="s">
        <v>331</v>
      </c>
      <c r="B186" s="3">
        <v>45667</v>
      </c>
      <c r="C186" t="s">
        <v>93</v>
      </c>
      <c r="D186" t="s">
        <v>94</v>
      </c>
      <c r="E186" t="s">
        <v>17</v>
      </c>
      <c r="F186" t="s">
        <v>18</v>
      </c>
      <c r="G186" t="s">
        <v>19</v>
      </c>
      <c r="H186">
        <v>5</v>
      </c>
      <c r="I186">
        <v>249.99</v>
      </c>
      <c r="J186" t="s">
        <v>26</v>
      </c>
      <c r="K186" t="s">
        <v>35</v>
      </c>
      <c r="L186" t="s">
        <v>22</v>
      </c>
      <c r="M186" s="3">
        <v>45330</v>
      </c>
      <c r="N186">
        <v>1249.95</v>
      </c>
      <c r="O186">
        <v>2</v>
      </c>
      <c r="P186">
        <v>2024</v>
      </c>
    </row>
    <row r="187" spans="1:16" x14ac:dyDescent="0.3">
      <c r="A187" t="s">
        <v>332</v>
      </c>
      <c r="B187" s="3">
        <v>45668</v>
      </c>
      <c r="C187" t="s">
        <v>138</v>
      </c>
      <c r="D187" t="s">
        <v>139</v>
      </c>
      <c r="E187" t="s">
        <v>52</v>
      </c>
      <c r="F187" t="s">
        <v>53</v>
      </c>
      <c r="G187" t="s">
        <v>19</v>
      </c>
      <c r="H187">
        <v>4</v>
      </c>
      <c r="I187">
        <v>149.99</v>
      </c>
      <c r="J187" t="s">
        <v>57</v>
      </c>
      <c r="K187" t="s">
        <v>63</v>
      </c>
      <c r="L187" t="s">
        <v>36</v>
      </c>
      <c r="M187" s="3">
        <v>44536</v>
      </c>
      <c r="N187">
        <v>599.96</v>
      </c>
      <c r="O187">
        <v>12</v>
      </c>
      <c r="P187">
        <v>2021</v>
      </c>
    </row>
    <row r="188" spans="1:16"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c r="O188">
        <v>2</v>
      </c>
      <c r="P188">
        <v>2022</v>
      </c>
    </row>
    <row r="189" spans="1:16"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c r="O189">
        <v>1</v>
      </c>
      <c r="P189">
        <v>2024</v>
      </c>
    </row>
    <row r="190" spans="1:16" x14ac:dyDescent="0.3">
      <c r="A190" t="s">
        <v>335</v>
      </c>
      <c r="B190" s="3">
        <v>45670</v>
      </c>
      <c r="C190" t="s">
        <v>86</v>
      </c>
      <c r="D190" t="s">
        <v>87</v>
      </c>
      <c r="E190" t="s">
        <v>105</v>
      </c>
      <c r="F190" t="s">
        <v>106</v>
      </c>
      <c r="G190" t="s">
        <v>46</v>
      </c>
      <c r="H190">
        <v>1</v>
      </c>
      <c r="I190">
        <v>299.99</v>
      </c>
      <c r="J190" t="s">
        <v>26</v>
      </c>
      <c r="K190" t="s">
        <v>40</v>
      </c>
      <c r="L190" t="s">
        <v>22</v>
      </c>
      <c r="M190" s="3">
        <v>44436</v>
      </c>
      <c r="N190">
        <v>299.99</v>
      </c>
      <c r="O190">
        <v>8</v>
      </c>
      <c r="P190">
        <v>2021</v>
      </c>
    </row>
    <row r="191" spans="1:16" x14ac:dyDescent="0.3">
      <c r="A191" t="s">
        <v>336</v>
      </c>
      <c r="B191" s="3">
        <v>45671</v>
      </c>
      <c r="C191" t="s">
        <v>158</v>
      </c>
      <c r="D191" t="s">
        <v>159</v>
      </c>
      <c r="E191" t="s">
        <v>17</v>
      </c>
      <c r="F191" t="s">
        <v>18</v>
      </c>
      <c r="G191" t="s">
        <v>19</v>
      </c>
      <c r="H191">
        <v>4</v>
      </c>
      <c r="I191">
        <v>249.99</v>
      </c>
      <c r="J191" t="s">
        <v>26</v>
      </c>
      <c r="K191" t="s">
        <v>40</v>
      </c>
      <c r="L191" t="s">
        <v>27</v>
      </c>
      <c r="M191" s="3">
        <v>44460</v>
      </c>
      <c r="N191">
        <v>999.96</v>
      </c>
      <c r="O191">
        <v>9</v>
      </c>
      <c r="P191">
        <v>2021</v>
      </c>
    </row>
    <row r="192" spans="1:16" x14ac:dyDescent="0.3">
      <c r="A192" t="s">
        <v>337</v>
      </c>
      <c r="B192" s="3">
        <v>45671</v>
      </c>
      <c r="C192" t="s">
        <v>120</v>
      </c>
      <c r="D192" t="s">
        <v>121</v>
      </c>
      <c r="E192" t="s">
        <v>52</v>
      </c>
      <c r="F192" t="s">
        <v>53</v>
      </c>
      <c r="G192" t="s">
        <v>19</v>
      </c>
      <c r="H192">
        <v>2</v>
      </c>
      <c r="I192">
        <v>149.99</v>
      </c>
      <c r="J192" t="s">
        <v>20</v>
      </c>
      <c r="K192" t="s">
        <v>40</v>
      </c>
      <c r="L192" t="s">
        <v>36</v>
      </c>
      <c r="M192" s="3">
        <v>44913</v>
      </c>
      <c r="N192">
        <v>299.98</v>
      </c>
      <c r="O192">
        <v>12</v>
      </c>
      <c r="P192">
        <v>2022</v>
      </c>
    </row>
    <row r="193" spans="1:16" x14ac:dyDescent="0.3">
      <c r="A193" t="s">
        <v>338</v>
      </c>
      <c r="B193" s="3">
        <v>45671</v>
      </c>
      <c r="C193" t="s">
        <v>234</v>
      </c>
      <c r="D193" t="s">
        <v>235</v>
      </c>
      <c r="E193" t="s">
        <v>105</v>
      </c>
      <c r="F193" t="s">
        <v>106</v>
      </c>
      <c r="G193" t="s">
        <v>46</v>
      </c>
      <c r="H193">
        <v>3</v>
      </c>
      <c r="I193">
        <v>299.99</v>
      </c>
      <c r="J193" t="s">
        <v>26</v>
      </c>
      <c r="K193" t="s">
        <v>35</v>
      </c>
      <c r="L193" t="s">
        <v>22</v>
      </c>
      <c r="M193" s="3">
        <v>45204</v>
      </c>
      <c r="N193">
        <v>899.97</v>
      </c>
      <c r="O193">
        <v>10</v>
      </c>
      <c r="P193">
        <v>2023</v>
      </c>
    </row>
    <row r="194" spans="1:16" x14ac:dyDescent="0.3">
      <c r="A194" t="s">
        <v>339</v>
      </c>
      <c r="B194" s="3">
        <v>45673</v>
      </c>
      <c r="C194" t="s">
        <v>226</v>
      </c>
      <c r="D194" t="s">
        <v>227</v>
      </c>
      <c r="E194" t="s">
        <v>126</v>
      </c>
      <c r="F194" t="s">
        <v>127</v>
      </c>
      <c r="G194" t="s">
        <v>46</v>
      </c>
      <c r="H194">
        <v>4</v>
      </c>
      <c r="I194">
        <v>199.99</v>
      </c>
      <c r="J194" t="s">
        <v>57</v>
      </c>
      <c r="K194" t="s">
        <v>35</v>
      </c>
      <c r="L194" t="s">
        <v>36</v>
      </c>
      <c r="M194" s="3">
        <v>44544</v>
      </c>
      <c r="N194">
        <v>799.96</v>
      </c>
      <c r="O194">
        <v>12</v>
      </c>
      <c r="P194">
        <v>2021</v>
      </c>
    </row>
    <row r="195" spans="1:16" x14ac:dyDescent="0.3">
      <c r="A195" t="s">
        <v>340</v>
      </c>
      <c r="B195" s="3">
        <v>45673</v>
      </c>
      <c r="C195" t="s">
        <v>211</v>
      </c>
      <c r="D195" t="s">
        <v>212</v>
      </c>
      <c r="E195" t="s">
        <v>105</v>
      </c>
      <c r="F195" t="s">
        <v>106</v>
      </c>
      <c r="G195" t="s">
        <v>46</v>
      </c>
      <c r="H195">
        <v>5</v>
      </c>
      <c r="I195">
        <v>299.99</v>
      </c>
      <c r="J195" t="s">
        <v>57</v>
      </c>
      <c r="K195" t="s">
        <v>21</v>
      </c>
      <c r="L195" t="s">
        <v>22</v>
      </c>
      <c r="M195" s="3">
        <v>44431</v>
      </c>
      <c r="N195">
        <v>1499.95</v>
      </c>
      <c r="O195">
        <v>8</v>
      </c>
      <c r="P195">
        <v>2021</v>
      </c>
    </row>
    <row r="196" spans="1:16" x14ac:dyDescent="0.3">
      <c r="A196" t="s">
        <v>341</v>
      </c>
      <c r="B196" s="3">
        <v>45673</v>
      </c>
      <c r="C196" t="s">
        <v>59</v>
      </c>
      <c r="D196" t="s">
        <v>60</v>
      </c>
      <c r="E196" t="s">
        <v>44</v>
      </c>
      <c r="F196" t="s">
        <v>45</v>
      </c>
      <c r="G196" t="s">
        <v>46</v>
      </c>
      <c r="H196">
        <v>3</v>
      </c>
      <c r="I196">
        <v>149.99</v>
      </c>
      <c r="J196" t="s">
        <v>26</v>
      </c>
      <c r="K196" t="s">
        <v>63</v>
      </c>
      <c r="L196" t="s">
        <v>36</v>
      </c>
      <c r="M196" s="3">
        <v>44395</v>
      </c>
      <c r="N196">
        <v>449.97</v>
      </c>
      <c r="O196">
        <v>7</v>
      </c>
      <c r="P196">
        <v>2021</v>
      </c>
    </row>
    <row r="197" spans="1:16" x14ac:dyDescent="0.3">
      <c r="A197" t="s">
        <v>342</v>
      </c>
      <c r="B197" s="3">
        <v>45676</v>
      </c>
      <c r="C197" t="s">
        <v>129</v>
      </c>
      <c r="D197" t="s">
        <v>130</v>
      </c>
      <c r="E197" t="s">
        <v>31</v>
      </c>
      <c r="F197" t="s">
        <v>32</v>
      </c>
      <c r="G197" t="s">
        <v>33</v>
      </c>
      <c r="H197">
        <v>5</v>
      </c>
      <c r="I197">
        <v>59.99</v>
      </c>
      <c r="J197" t="s">
        <v>57</v>
      </c>
      <c r="K197" t="s">
        <v>63</v>
      </c>
      <c r="L197" t="s">
        <v>22</v>
      </c>
      <c r="M197" s="3">
        <v>44642</v>
      </c>
      <c r="N197">
        <v>299.95</v>
      </c>
      <c r="O197">
        <v>3</v>
      </c>
      <c r="P197">
        <v>2022</v>
      </c>
    </row>
    <row r="198" spans="1:16" x14ac:dyDescent="0.3">
      <c r="A198" t="s">
        <v>343</v>
      </c>
      <c r="B198" s="3">
        <v>45682</v>
      </c>
      <c r="C198" t="s">
        <v>68</v>
      </c>
      <c r="D198" t="s">
        <v>69</v>
      </c>
      <c r="E198" t="s">
        <v>31</v>
      </c>
      <c r="F198" t="s">
        <v>32</v>
      </c>
      <c r="G198" t="s">
        <v>33</v>
      </c>
      <c r="H198">
        <v>4</v>
      </c>
      <c r="I198">
        <v>59.99</v>
      </c>
      <c r="J198" t="s">
        <v>57</v>
      </c>
      <c r="K198" t="s">
        <v>63</v>
      </c>
      <c r="L198" t="s">
        <v>36</v>
      </c>
      <c r="M198" s="3">
        <v>44564</v>
      </c>
      <c r="N198">
        <v>239.96</v>
      </c>
      <c r="O198">
        <v>1</v>
      </c>
      <c r="P198">
        <v>2022</v>
      </c>
    </row>
    <row r="199" spans="1:16" x14ac:dyDescent="0.3">
      <c r="A199" t="s">
        <v>344</v>
      </c>
      <c r="B199" s="3">
        <v>45683</v>
      </c>
      <c r="C199" t="s">
        <v>48</v>
      </c>
      <c r="D199" t="s">
        <v>49</v>
      </c>
      <c r="E199" t="s">
        <v>17</v>
      </c>
      <c r="F199" t="s">
        <v>18</v>
      </c>
      <c r="G199" t="s">
        <v>19</v>
      </c>
      <c r="H199">
        <v>4</v>
      </c>
      <c r="I199">
        <v>249.99</v>
      </c>
      <c r="J199" t="s">
        <v>57</v>
      </c>
      <c r="K199" t="s">
        <v>21</v>
      </c>
      <c r="L199" t="s">
        <v>27</v>
      </c>
      <c r="M199" s="3">
        <v>45217</v>
      </c>
      <c r="N199">
        <v>999.96</v>
      </c>
      <c r="O199">
        <v>10</v>
      </c>
      <c r="P199">
        <v>2023</v>
      </c>
    </row>
    <row r="200" spans="1:16" x14ac:dyDescent="0.3">
      <c r="A200" t="s">
        <v>345</v>
      </c>
      <c r="B200" s="3">
        <v>45686</v>
      </c>
      <c r="C200" t="s">
        <v>252</v>
      </c>
      <c r="D200" t="s">
        <v>253</v>
      </c>
      <c r="E200" t="s">
        <v>61</v>
      </c>
      <c r="F200" t="s">
        <v>62</v>
      </c>
      <c r="G200" t="s">
        <v>19</v>
      </c>
      <c r="H200">
        <v>4</v>
      </c>
      <c r="I200">
        <v>899.99</v>
      </c>
      <c r="J200" t="s">
        <v>34</v>
      </c>
      <c r="K200" t="s">
        <v>21</v>
      </c>
      <c r="L200" t="s">
        <v>22</v>
      </c>
      <c r="M200" s="3">
        <v>44734</v>
      </c>
      <c r="N200">
        <v>3599.96</v>
      </c>
      <c r="O200">
        <v>6</v>
      </c>
      <c r="P200">
        <v>2022</v>
      </c>
    </row>
    <row r="201" spans="1:16" x14ac:dyDescent="0.3">
      <c r="A201" t="s">
        <v>346</v>
      </c>
      <c r="B201" s="3">
        <v>45686</v>
      </c>
      <c r="C201" t="s">
        <v>86</v>
      </c>
      <c r="D201" t="s">
        <v>87</v>
      </c>
      <c r="E201" t="s">
        <v>105</v>
      </c>
      <c r="F201" t="s">
        <v>106</v>
      </c>
      <c r="G201" t="s">
        <v>46</v>
      </c>
      <c r="H201">
        <v>3</v>
      </c>
      <c r="I201">
        <v>299.99</v>
      </c>
      <c r="J201" t="s">
        <v>57</v>
      </c>
      <c r="K201" t="s">
        <v>50</v>
      </c>
      <c r="L201" t="s">
        <v>36</v>
      </c>
      <c r="M201" s="3">
        <v>44952</v>
      </c>
      <c r="N201">
        <v>899.97</v>
      </c>
      <c r="O201">
        <v>1</v>
      </c>
      <c r="P201">
        <v>2023</v>
      </c>
    </row>
    <row r="202" spans="1:16" x14ac:dyDescent="0.3">
      <c r="A202" t="s">
        <v>347</v>
      </c>
      <c r="B202" s="3">
        <v>45686</v>
      </c>
      <c r="C202" t="s">
        <v>293</v>
      </c>
      <c r="D202" t="s">
        <v>294</v>
      </c>
      <c r="E202" t="s">
        <v>80</v>
      </c>
      <c r="F202" t="s">
        <v>81</v>
      </c>
      <c r="G202" t="s">
        <v>19</v>
      </c>
      <c r="H202">
        <v>2</v>
      </c>
      <c r="I202">
        <v>699.99</v>
      </c>
      <c r="J202" t="s">
        <v>57</v>
      </c>
      <c r="K202" t="s">
        <v>21</v>
      </c>
      <c r="L202" t="s">
        <v>27</v>
      </c>
      <c r="M202" s="3">
        <v>44681</v>
      </c>
      <c r="N202">
        <v>1399.98</v>
      </c>
      <c r="O202">
        <v>4</v>
      </c>
      <c r="P202">
        <v>2022</v>
      </c>
    </row>
    <row r="203" spans="1:16" x14ac:dyDescent="0.3">
      <c r="A203" t="s">
        <v>348</v>
      </c>
      <c r="B203" s="3">
        <v>45688</v>
      </c>
      <c r="C203" t="s">
        <v>65</v>
      </c>
      <c r="D203" t="s">
        <v>66</v>
      </c>
      <c r="E203" t="s">
        <v>80</v>
      </c>
      <c r="F203" t="s">
        <v>81</v>
      </c>
      <c r="G203" t="s">
        <v>19</v>
      </c>
      <c r="H203">
        <v>4</v>
      </c>
      <c r="I203">
        <v>699.99</v>
      </c>
      <c r="J203" t="s">
        <v>57</v>
      </c>
      <c r="K203" t="s">
        <v>50</v>
      </c>
      <c r="L203" t="s">
        <v>27</v>
      </c>
      <c r="M203" s="3">
        <v>44692</v>
      </c>
      <c r="N203">
        <v>2799.96</v>
      </c>
      <c r="O203">
        <v>5</v>
      </c>
      <c r="P203">
        <v>2022</v>
      </c>
    </row>
    <row r="204" spans="1:16" x14ac:dyDescent="0.3">
      <c r="A204" t="s">
        <v>349</v>
      </c>
      <c r="B204" s="3">
        <v>45688</v>
      </c>
      <c r="C204" t="s">
        <v>123</v>
      </c>
      <c r="D204" t="s">
        <v>124</v>
      </c>
      <c r="E204" t="s">
        <v>117</v>
      </c>
      <c r="F204" t="s">
        <v>118</v>
      </c>
      <c r="G204" t="s">
        <v>19</v>
      </c>
      <c r="H204">
        <v>2</v>
      </c>
      <c r="I204">
        <v>89.99</v>
      </c>
      <c r="J204" t="s">
        <v>57</v>
      </c>
      <c r="K204" t="s">
        <v>35</v>
      </c>
      <c r="L204" t="s">
        <v>22</v>
      </c>
      <c r="M204" s="3">
        <v>44777</v>
      </c>
      <c r="N204">
        <v>179.98</v>
      </c>
      <c r="O204">
        <v>8</v>
      </c>
      <c r="P204">
        <v>2022</v>
      </c>
    </row>
    <row r="205" spans="1:16"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c r="O205">
        <v>1</v>
      </c>
      <c r="P205">
        <v>2024</v>
      </c>
    </row>
    <row r="206" spans="1:16" x14ac:dyDescent="0.3">
      <c r="A206" t="s">
        <v>351</v>
      </c>
      <c r="B206" s="3">
        <v>45692</v>
      </c>
      <c r="C206" t="s">
        <v>325</v>
      </c>
      <c r="D206" t="s">
        <v>326</v>
      </c>
      <c r="E206" t="s">
        <v>31</v>
      </c>
      <c r="F206" t="s">
        <v>32</v>
      </c>
      <c r="G206" t="s">
        <v>33</v>
      </c>
      <c r="H206">
        <v>1</v>
      </c>
      <c r="I206">
        <v>59.99</v>
      </c>
      <c r="J206" t="s">
        <v>57</v>
      </c>
      <c r="K206" t="s">
        <v>21</v>
      </c>
      <c r="L206" t="s">
        <v>36</v>
      </c>
      <c r="M206" s="3">
        <v>45045</v>
      </c>
      <c r="N206">
        <v>59.99</v>
      </c>
      <c r="O206">
        <v>4</v>
      </c>
      <c r="P206">
        <v>2023</v>
      </c>
    </row>
    <row r="207" spans="1:16" x14ac:dyDescent="0.3">
      <c r="A207" t="s">
        <v>352</v>
      </c>
      <c r="B207" s="3">
        <v>45695</v>
      </c>
      <c r="C207" t="s">
        <v>246</v>
      </c>
      <c r="D207" t="s">
        <v>247</v>
      </c>
      <c r="E207" t="s">
        <v>44</v>
      </c>
      <c r="F207" t="s">
        <v>45</v>
      </c>
      <c r="G207" t="s">
        <v>46</v>
      </c>
      <c r="H207">
        <v>3</v>
      </c>
      <c r="I207">
        <v>149.99</v>
      </c>
      <c r="J207" t="s">
        <v>57</v>
      </c>
      <c r="K207" t="s">
        <v>40</v>
      </c>
      <c r="L207" t="s">
        <v>27</v>
      </c>
      <c r="M207" s="3">
        <v>44564</v>
      </c>
      <c r="N207">
        <v>449.97</v>
      </c>
      <c r="O207">
        <v>1</v>
      </c>
      <c r="P207">
        <v>2022</v>
      </c>
    </row>
    <row r="208" spans="1:16" x14ac:dyDescent="0.3">
      <c r="A208" t="s">
        <v>353</v>
      </c>
      <c r="B208" s="3">
        <v>45695</v>
      </c>
      <c r="C208" t="s">
        <v>93</v>
      </c>
      <c r="D208" t="s">
        <v>94</v>
      </c>
      <c r="E208" t="s">
        <v>105</v>
      </c>
      <c r="F208" t="s">
        <v>106</v>
      </c>
      <c r="G208" t="s">
        <v>46</v>
      </c>
      <c r="H208">
        <v>5</v>
      </c>
      <c r="I208">
        <v>299.99</v>
      </c>
      <c r="J208" t="s">
        <v>26</v>
      </c>
      <c r="K208" t="s">
        <v>35</v>
      </c>
      <c r="L208" t="s">
        <v>22</v>
      </c>
      <c r="M208" s="3">
        <v>44959</v>
      </c>
      <c r="N208">
        <v>1499.95</v>
      </c>
      <c r="O208">
        <v>2</v>
      </c>
      <c r="P208">
        <v>2023</v>
      </c>
    </row>
    <row r="209" spans="1:16" x14ac:dyDescent="0.3">
      <c r="A209" t="s">
        <v>354</v>
      </c>
      <c r="B209" s="3">
        <v>45696</v>
      </c>
      <c r="C209" t="s">
        <v>150</v>
      </c>
      <c r="D209" t="s">
        <v>151</v>
      </c>
      <c r="E209" t="s">
        <v>31</v>
      </c>
      <c r="F209" t="s">
        <v>32</v>
      </c>
      <c r="G209" t="s">
        <v>33</v>
      </c>
      <c r="H209">
        <v>5</v>
      </c>
      <c r="I209">
        <v>59.99</v>
      </c>
      <c r="J209" t="s">
        <v>57</v>
      </c>
      <c r="K209" t="s">
        <v>21</v>
      </c>
      <c r="L209" t="s">
        <v>36</v>
      </c>
      <c r="M209" s="3">
        <v>45177</v>
      </c>
      <c r="N209">
        <v>299.95</v>
      </c>
      <c r="O209">
        <v>9</v>
      </c>
      <c r="P209">
        <v>2023</v>
      </c>
    </row>
    <row r="210" spans="1:16"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c r="O210">
        <v>8</v>
      </c>
      <c r="P210">
        <v>2021</v>
      </c>
    </row>
    <row r="211" spans="1:16" x14ac:dyDescent="0.3">
      <c r="A211" t="s">
        <v>356</v>
      </c>
      <c r="B211" s="3">
        <v>45704</v>
      </c>
      <c r="C211" t="s">
        <v>29</v>
      </c>
      <c r="D211" t="s">
        <v>30</v>
      </c>
      <c r="E211" t="s">
        <v>126</v>
      </c>
      <c r="F211" t="s">
        <v>127</v>
      </c>
      <c r="G211" t="s">
        <v>46</v>
      </c>
      <c r="H211">
        <v>3</v>
      </c>
      <c r="I211">
        <v>199.99</v>
      </c>
      <c r="J211" t="s">
        <v>20</v>
      </c>
      <c r="K211" t="s">
        <v>21</v>
      </c>
      <c r="L211" t="s">
        <v>22</v>
      </c>
      <c r="M211" s="3">
        <v>44735</v>
      </c>
      <c r="N211">
        <v>599.97</v>
      </c>
      <c r="O211">
        <v>6</v>
      </c>
      <c r="P211">
        <v>2022</v>
      </c>
    </row>
    <row r="212" spans="1:16" x14ac:dyDescent="0.3">
      <c r="A212" t="s">
        <v>357</v>
      </c>
      <c r="B212" s="3">
        <v>45704</v>
      </c>
      <c r="C212" t="s">
        <v>15</v>
      </c>
      <c r="D212" t="s">
        <v>16</v>
      </c>
      <c r="E212" t="s">
        <v>117</v>
      </c>
      <c r="F212" t="s">
        <v>118</v>
      </c>
      <c r="G212" t="s">
        <v>19</v>
      </c>
      <c r="H212">
        <v>2</v>
      </c>
      <c r="I212">
        <v>89.99</v>
      </c>
      <c r="J212" t="s">
        <v>34</v>
      </c>
      <c r="K212" t="s">
        <v>21</v>
      </c>
      <c r="L212" t="s">
        <v>22</v>
      </c>
      <c r="M212" s="3">
        <v>45257</v>
      </c>
      <c r="N212">
        <v>179.98</v>
      </c>
      <c r="O212">
        <v>11</v>
      </c>
      <c r="P212">
        <v>2023</v>
      </c>
    </row>
    <row r="213" spans="1:16" x14ac:dyDescent="0.3">
      <c r="A213" t="s">
        <v>358</v>
      </c>
      <c r="B213" s="3">
        <v>45705</v>
      </c>
      <c r="C213" t="s">
        <v>259</v>
      </c>
      <c r="D213" t="s">
        <v>260</v>
      </c>
      <c r="E213" t="s">
        <v>44</v>
      </c>
      <c r="F213" t="s">
        <v>45</v>
      </c>
      <c r="G213" t="s">
        <v>46</v>
      </c>
      <c r="H213">
        <v>2</v>
      </c>
      <c r="I213">
        <v>149.99</v>
      </c>
      <c r="J213" t="s">
        <v>20</v>
      </c>
      <c r="K213" t="s">
        <v>35</v>
      </c>
      <c r="L213" t="s">
        <v>27</v>
      </c>
      <c r="M213" s="3">
        <v>44728</v>
      </c>
      <c r="N213">
        <v>299.98</v>
      </c>
      <c r="O213">
        <v>6</v>
      </c>
      <c r="P213">
        <v>2022</v>
      </c>
    </row>
    <row r="214" spans="1:16" x14ac:dyDescent="0.3">
      <c r="A214" t="s">
        <v>359</v>
      </c>
      <c r="B214" s="3">
        <v>45707</v>
      </c>
      <c r="C214" t="s">
        <v>123</v>
      </c>
      <c r="D214" t="s">
        <v>124</v>
      </c>
      <c r="E214" t="s">
        <v>80</v>
      </c>
      <c r="F214" t="s">
        <v>81</v>
      </c>
      <c r="G214" t="s">
        <v>19</v>
      </c>
      <c r="H214">
        <v>5</v>
      </c>
      <c r="I214">
        <v>699.99</v>
      </c>
      <c r="J214" t="s">
        <v>34</v>
      </c>
      <c r="K214" t="s">
        <v>35</v>
      </c>
      <c r="L214" t="s">
        <v>27</v>
      </c>
      <c r="M214" s="3">
        <v>45352</v>
      </c>
      <c r="N214">
        <v>3499.95</v>
      </c>
      <c r="O214">
        <v>3</v>
      </c>
      <c r="P214">
        <v>2024</v>
      </c>
    </row>
    <row r="215" spans="1:16" x14ac:dyDescent="0.3">
      <c r="A215" t="s">
        <v>360</v>
      </c>
      <c r="B215" s="3">
        <v>45707</v>
      </c>
      <c r="C215" t="s">
        <v>42</v>
      </c>
      <c r="D215" t="s">
        <v>43</v>
      </c>
      <c r="E215" t="s">
        <v>44</v>
      </c>
      <c r="F215" t="s">
        <v>45</v>
      </c>
      <c r="G215" t="s">
        <v>46</v>
      </c>
      <c r="H215">
        <v>3</v>
      </c>
      <c r="I215">
        <v>149.99</v>
      </c>
      <c r="J215" t="s">
        <v>34</v>
      </c>
      <c r="K215" t="s">
        <v>21</v>
      </c>
      <c r="L215" t="s">
        <v>36</v>
      </c>
      <c r="M215" s="3">
        <v>44633</v>
      </c>
      <c r="N215">
        <v>449.97</v>
      </c>
      <c r="O215">
        <v>3</v>
      </c>
      <c r="P215">
        <v>2022</v>
      </c>
    </row>
    <row r="216" spans="1:16" x14ac:dyDescent="0.3">
      <c r="A216" t="s">
        <v>361</v>
      </c>
      <c r="B216" s="3">
        <v>45708</v>
      </c>
      <c r="C216" t="s">
        <v>96</v>
      </c>
      <c r="D216" t="s">
        <v>97</v>
      </c>
      <c r="E216" t="s">
        <v>61</v>
      </c>
      <c r="F216" t="s">
        <v>62</v>
      </c>
      <c r="G216" t="s">
        <v>19</v>
      </c>
      <c r="H216">
        <v>3</v>
      </c>
      <c r="I216">
        <v>899.99</v>
      </c>
      <c r="J216" t="s">
        <v>20</v>
      </c>
      <c r="K216" t="s">
        <v>63</v>
      </c>
      <c r="L216" t="s">
        <v>36</v>
      </c>
      <c r="M216" s="3">
        <v>44613</v>
      </c>
      <c r="N216">
        <v>2699.97</v>
      </c>
      <c r="O216">
        <v>2</v>
      </c>
      <c r="P216">
        <v>2022</v>
      </c>
    </row>
    <row r="217" spans="1:16" x14ac:dyDescent="0.3">
      <c r="A217" t="s">
        <v>362</v>
      </c>
      <c r="B217" s="3">
        <v>45708</v>
      </c>
      <c r="C217" t="s">
        <v>192</v>
      </c>
      <c r="D217" t="s">
        <v>193</v>
      </c>
      <c r="E217" t="s">
        <v>126</v>
      </c>
      <c r="F217" t="s">
        <v>127</v>
      </c>
      <c r="G217" t="s">
        <v>46</v>
      </c>
      <c r="H217">
        <v>3</v>
      </c>
      <c r="I217">
        <v>199.99</v>
      </c>
      <c r="J217" t="s">
        <v>20</v>
      </c>
      <c r="K217" t="s">
        <v>50</v>
      </c>
      <c r="L217" t="s">
        <v>27</v>
      </c>
      <c r="M217" s="3">
        <v>44823</v>
      </c>
      <c r="N217">
        <v>599.97</v>
      </c>
      <c r="O217">
        <v>9</v>
      </c>
      <c r="P217">
        <v>2022</v>
      </c>
    </row>
    <row r="218" spans="1:16" x14ac:dyDescent="0.3">
      <c r="A218" t="s">
        <v>363</v>
      </c>
      <c r="B218" s="3">
        <v>45710</v>
      </c>
      <c r="C218" t="s">
        <v>55</v>
      </c>
      <c r="D218" t="s">
        <v>56</v>
      </c>
      <c r="E218" t="s">
        <v>105</v>
      </c>
      <c r="F218" t="s">
        <v>106</v>
      </c>
      <c r="G218" t="s">
        <v>46</v>
      </c>
      <c r="H218">
        <v>5</v>
      </c>
      <c r="I218">
        <v>299.99</v>
      </c>
      <c r="J218" t="s">
        <v>20</v>
      </c>
      <c r="K218" t="s">
        <v>50</v>
      </c>
      <c r="L218" t="s">
        <v>36</v>
      </c>
      <c r="M218" s="3">
        <v>45142</v>
      </c>
      <c r="N218">
        <v>1499.95</v>
      </c>
      <c r="O218">
        <v>8</v>
      </c>
      <c r="P218">
        <v>2023</v>
      </c>
    </row>
    <row r="219" spans="1:16" x14ac:dyDescent="0.3">
      <c r="A219" t="s">
        <v>364</v>
      </c>
      <c r="B219" s="3">
        <v>45710</v>
      </c>
      <c r="C219" t="s">
        <v>150</v>
      </c>
      <c r="D219" t="s">
        <v>151</v>
      </c>
      <c r="E219" t="s">
        <v>80</v>
      </c>
      <c r="F219" t="s">
        <v>81</v>
      </c>
      <c r="G219" t="s">
        <v>19</v>
      </c>
      <c r="H219">
        <v>1</v>
      </c>
      <c r="I219">
        <v>699.99</v>
      </c>
      <c r="J219" t="s">
        <v>34</v>
      </c>
      <c r="K219" t="s">
        <v>50</v>
      </c>
      <c r="L219" t="s">
        <v>22</v>
      </c>
      <c r="M219" s="3">
        <v>44934</v>
      </c>
      <c r="N219">
        <v>699.99</v>
      </c>
      <c r="O219">
        <v>1</v>
      </c>
      <c r="P219">
        <v>2023</v>
      </c>
    </row>
    <row r="220" spans="1:16" x14ac:dyDescent="0.3">
      <c r="A220" t="s">
        <v>365</v>
      </c>
      <c r="B220" s="3">
        <v>45711</v>
      </c>
      <c r="C220" t="s">
        <v>246</v>
      </c>
      <c r="D220" t="s">
        <v>247</v>
      </c>
      <c r="E220" t="s">
        <v>80</v>
      </c>
      <c r="F220" t="s">
        <v>81</v>
      </c>
      <c r="G220" t="s">
        <v>19</v>
      </c>
      <c r="H220">
        <v>1</v>
      </c>
      <c r="I220">
        <v>699.99</v>
      </c>
      <c r="J220" t="s">
        <v>20</v>
      </c>
      <c r="K220" t="s">
        <v>40</v>
      </c>
      <c r="L220" t="s">
        <v>27</v>
      </c>
      <c r="M220" s="3">
        <v>44583</v>
      </c>
      <c r="N220">
        <v>699.99</v>
      </c>
      <c r="O220">
        <v>1</v>
      </c>
      <c r="P220">
        <v>2022</v>
      </c>
    </row>
    <row r="221" spans="1:16" x14ac:dyDescent="0.3">
      <c r="A221" t="s">
        <v>366</v>
      </c>
      <c r="B221" s="3">
        <v>45711</v>
      </c>
      <c r="C221" t="s">
        <v>325</v>
      </c>
      <c r="D221" t="s">
        <v>326</v>
      </c>
      <c r="E221" t="s">
        <v>44</v>
      </c>
      <c r="F221" t="s">
        <v>45</v>
      </c>
      <c r="G221" t="s">
        <v>46</v>
      </c>
      <c r="H221">
        <v>4</v>
      </c>
      <c r="I221">
        <v>149.99</v>
      </c>
      <c r="J221" t="s">
        <v>34</v>
      </c>
      <c r="K221" t="s">
        <v>40</v>
      </c>
      <c r="L221" t="s">
        <v>27</v>
      </c>
      <c r="M221" s="3">
        <v>44412</v>
      </c>
      <c r="N221">
        <v>599.96</v>
      </c>
      <c r="O221">
        <v>8</v>
      </c>
      <c r="P221">
        <v>2021</v>
      </c>
    </row>
    <row r="222" spans="1:16" x14ac:dyDescent="0.3">
      <c r="A222" t="s">
        <v>367</v>
      </c>
      <c r="B222" s="3">
        <v>45711</v>
      </c>
      <c r="C222" t="s">
        <v>211</v>
      </c>
      <c r="D222" t="s">
        <v>212</v>
      </c>
      <c r="E222" t="s">
        <v>117</v>
      </c>
      <c r="F222" t="s">
        <v>118</v>
      </c>
      <c r="G222" t="s">
        <v>19</v>
      </c>
      <c r="H222">
        <v>5</v>
      </c>
      <c r="I222">
        <v>89.99</v>
      </c>
      <c r="J222" t="s">
        <v>34</v>
      </c>
      <c r="K222" t="s">
        <v>50</v>
      </c>
      <c r="L222" t="s">
        <v>27</v>
      </c>
      <c r="M222" s="3">
        <v>45140</v>
      </c>
      <c r="N222">
        <v>449.95</v>
      </c>
      <c r="O222">
        <v>8</v>
      </c>
      <c r="P222">
        <v>2023</v>
      </c>
    </row>
    <row r="223" spans="1:16" x14ac:dyDescent="0.3">
      <c r="A223" t="s">
        <v>368</v>
      </c>
      <c r="B223" s="3">
        <v>45712</v>
      </c>
      <c r="C223" t="s">
        <v>138</v>
      </c>
      <c r="D223" t="s">
        <v>139</v>
      </c>
      <c r="E223" t="s">
        <v>126</v>
      </c>
      <c r="F223" t="s">
        <v>127</v>
      </c>
      <c r="G223" t="s">
        <v>46</v>
      </c>
      <c r="H223">
        <v>2</v>
      </c>
      <c r="I223">
        <v>199.99</v>
      </c>
      <c r="J223" t="s">
        <v>20</v>
      </c>
      <c r="K223" t="s">
        <v>21</v>
      </c>
      <c r="L223" t="s">
        <v>27</v>
      </c>
      <c r="M223" s="3">
        <v>44573</v>
      </c>
      <c r="N223">
        <v>399.98</v>
      </c>
      <c r="O223">
        <v>1</v>
      </c>
      <c r="P223">
        <v>2022</v>
      </c>
    </row>
    <row r="224" spans="1:16" x14ac:dyDescent="0.3">
      <c r="A224" t="s">
        <v>369</v>
      </c>
      <c r="B224" s="3">
        <v>45715</v>
      </c>
      <c r="C224" t="s">
        <v>259</v>
      </c>
      <c r="D224" t="s">
        <v>260</v>
      </c>
      <c r="E224" t="s">
        <v>31</v>
      </c>
      <c r="F224" t="s">
        <v>32</v>
      </c>
      <c r="G224" t="s">
        <v>33</v>
      </c>
      <c r="H224">
        <v>4</v>
      </c>
      <c r="I224">
        <v>59.99</v>
      </c>
      <c r="J224" t="s">
        <v>20</v>
      </c>
      <c r="K224" t="s">
        <v>50</v>
      </c>
      <c r="L224" t="s">
        <v>36</v>
      </c>
      <c r="M224" s="3">
        <v>45070</v>
      </c>
      <c r="N224">
        <v>239.96</v>
      </c>
      <c r="O224">
        <v>5</v>
      </c>
      <c r="P224">
        <v>2023</v>
      </c>
    </row>
    <row r="225" spans="1:16" x14ac:dyDescent="0.3">
      <c r="A225" t="s">
        <v>370</v>
      </c>
      <c r="B225" s="3">
        <v>45715</v>
      </c>
      <c r="C225" t="s">
        <v>93</v>
      </c>
      <c r="D225" t="s">
        <v>94</v>
      </c>
      <c r="E225" t="s">
        <v>105</v>
      </c>
      <c r="F225" t="s">
        <v>106</v>
      </c>
      <c r="G225" t="s">
        <v>46</v>
      </c>
      <c r="H225">
        <v>2</v>
      </c>
      <c r="I225">
        <v>299.99</v>
      </c>
      <c r="J225" t="s">
        <v>34</v>
      </c>
      <c r="K225" t="s">
        <v>35</v>
      </c>
      <c r="L225" t="s">
        <v>22</v>
      </c>
      <c r="M225" s="3">
        <v>44576</v>
      </c>
      <c r="N225">
        <v>599.98</v>
      </c>
      <c r="O225">
        <v>1</v>
      </c>
      <c r="P225">
        <v>2022</v>
      </c>
    </row>
    <row r="226" spans="1:16" x14ac:dyDescent="0.3">
      <c r="A226" t="s">
        <v>371</v>
      </c>
      <c r="B226" s="3">
        <v>45718</v>
      </c>
      <c r="C226" t="s">
        <v>55</v>
      </c>
      <c r="D226" t="s">
        <v>56</v>
      </c>
      <c r="E226" t="s">
        <v>44</v>
      </c>
      <c r="F226" t="s">
        <v>45</v>
      </c>
      <c r="G226" t="s">
        <v>46</v>
      </c>
      <c r="H226">
        <v>2</v>
      </c>
      <c r="I226">
        <v>149.99</v>
      </c>
      <c r="J226" t="s">
        <v>20</v>
      </c>
      <c r="K226" t="s">
        <v>21</v>
      </c>
      <c r="L226" t="s">
        <v>22</v>
      </c>
      <c r="M226" s="3">
        <v>45068</v>
      </c>
      <c r="N226">
        <v>299.98</v>
      </c>
      <c r="O226">
        <v>5</v>
      </c>
      <c r="P226">
        <v>2023</v>
      </c>
    </row>
    <row r="227" spans="1:16" x14ac:dyDescent="0.3">
      <c r="A227" t="s">
        <v>372</v>
      </c>
      <c r="B227" s="3">
        <v>45720</v>
      </c>
      <c r="C227" t="s">
        <v>226</v>
      </c>
      <c r="D227" t="s">
        <v>227</v>
      </c>
      <c r="E227" t="s">
        <v>80</v>
      </c>
      <c r="F227" t="s">
        <v>81</v>
      </c>
      <c r="G227" t="s">
        <v>19</v>
      </c>
      <c r="H227">
        <v>5</v>
      </c>
      <c r="I227">
        <v>699.99</v>
      </c>
      <c r="J227" t="s">
        <v>57</v>
      </c>
      <c r="K227" t="s">
        <v>63</v>
      </c>
      <c r="L227" t="s">
        <v>27</v>
      </c>
      <c r="M227" s="3">
        <v>45161</v>
      </c>
      <c r="N227">
        <v>3499.95</v>
      </c>
      <c r="O227">
        <v>8</v>
      </c>
      <c r="P227">
        <v>2023</v>
      </c>
    </row>
    <row r="228" spans="1:16" x14ac:dyDescent="0.3">
      <c r="A228" t="s">
        <v>373</v>
      </c>
      <c r="B228" s="3">
        <v>45721</v>
      </c>
      <c r="C228" t="s">
        <v>75</v>
      </c>
      <c r="D228" t="s">
        <v>76</v>
      </c>
      <c r="E228" t="s">
        <v>31</v>
      </c>
      <c r="F228" t="s">
        <v>32</v>
      </c>
      <c r="G228" t="s">
        <v>33</v>
      </c>
      <c r="H228">
        <v>5</v>
      </c>
      <c r="I228">
        <v>59.99</v>
      </c>
      <c r="J228" t="s">
        <v>20</v>
      </c>
      <c r="K228" t="s">
        <v>50</v>
      </c>
      <c r="L228" t="s">
        <v>27</v>
      </c>
      <c r="M228" s="3">
        <v>45291</v>
      </c>
      <c r="N228">
        <v>299.95</v>
      </c>
      <c r="O228">
        <v>12</v>
      </c>
      <c r="P228">
        <v>2023</v>
      </c>
    </row>
    <row r="229" spans="1:16" x14ac:dyDescent="0.3">
      <c r="A229" t="s">
        <v>374</v>
      </c>
      <c r="B229" s="3">
        <v>45723</v>
      </c>
      <c r="C229" t="s">
        <v>15</v>
      </c>
      <c r="D229" t="s">
        <v>16</v>
      </c>
      <c r="E229" t="s">
        <v>117</v>
      </c>
      <c r="F229" t="s">
        <v>118</v>
      </c>
      <c r="G229" t="s">
        <v>19</v>
      </c>
      <c r="H229">
        <v>2</v>
      </c>
      <c r="I229">
        <v>89.99</v>
      </c>
      <c r="J229" t="s">
        <v>26</v>
      </c>
      <c r="K229" t="s">
        <v>50</v>
      </c>
      <c r="L229" t="s">
        <v>27</v>
      </c>
      <c r="M229" s="3">
        <v>45295</v>
      </c>
      <c r="N229">
        <v>179.98</v>
      </c>
      <c r="O229">
        <v>1</v>
      </c>
      <c r="P229">
        <v>2024</v>
      </c>
    </row>
    <row r="230" spans="1:16" x14ac:dyDescent="0.3">
      <c r="A230" t="s">
        <v>375</v>
      </c>
      <c r="B230" s="3">
        <v>45723</v>
      </c>
      <c r="C230" t="s">
        <v>120</v>
      </c>
      <c r="D230" t="s">
        <v>121</v>
      </c>
      <c r="E230" t="s">
        <v>17</v>
      </c>
      <c r="F230" t="s">
        <v>18</v>
      </c>
      <c r="G230" t="s">
        <v>19</v>
      </c>
      <c r="H230">
        <v>5</v>
      </c>
      <c r="I230">
        <v>249.99</v>
      </c>
      <c r="J230" t="s">
        <v>20</v>
      </c>
      <c r="K230" t="s">
        <v>63</v>
      </c>
      <c r="L230" t="s">
        <v>36</v>
      </c>
      <c r="M230" s="3">
        <v>44540</v>
      </c>
      <c r="N230">
        <v>1249.95</v>
      </c>
      <c r="O230">
        <v>12</v>
      </c>
      <c r="P230">
        <v>2021</v>
      </c>
    </row>
    <row r="231" spans="1:16" x14ac:dyDescent="0.3">
      <c r="A231" t="s">
        <v>376</v>
      </c>
      <c r="B231" s="3">
        <v>45724</v>
      </c>
      <c r="C231" t="s">
        <v>226</v>
      </c>
      <c r="D231" t="s">
        <v>227</v>
      </c>
      <c r="E231" t="s">
        <v>44</v>
      </c>
      <c r="F231" t="s">
        <v>45</v>
      </c>
      <c r="G231" t="s">
        <v>46</v>
      </c>
      <c r="H231">
        <v>2</v>
      </c>
      <c r="I231">
        <v>149.99</v>
      </c>
      <c r="J231" t="s">
        <v>34</v>
      </c>
      <c r="K231" t="s">
        <v>21</v>
      </c>
      <c r="L231" t="s">
        <v>27</v>
      </c>
      <c r="M231" s="3">
        <v>44632</v>
      </c>
      <c r="N231">
        <v>299.98</v>
      </c>
      <c r="O231">
        <v>3</v>
      </c>
      <c r="P231">
        <v>2022</v>
      </c>
    </row>
    <row r="232" spans="1:16" x14ac:dyDescent="0.3">
      <c r="A232" t="s">
        <v>377</v>
      </c>
      <c r="B232" s="3">
        <v>45724</v>
      </c>
      <c r="C232" t="s">
        <v>144</v>
      </c>
      <c r="D232" t="s">
        <v>145</v>
      </c>
      <c r="E232" t="s">
        <v>61</v>
      </c>
      <c r="F232" t="s">
        <v>62</v>
      </c>
      <c r="G232" t="s">
        <v>19</v>
      </c>
      <c r="H232">
        <v>5</v>
      </c>
      <c r="I232">
        <v>899.99</v>
      </c>
      <c r="J232" t="s">
        <v>34</v>
      </c>
      <c r="K232" t="s">
        <v>63</v>
      </c>
      <c r="L232" t="s">
        <v>27</v>
      </c>
      <c r="M232" s="3">
        <v>45389</v>
      </c>
      <c r="N232">
        <v>4499.95</v>
      </c>
      <c r="O232">
        <v>4</v>
      </c>
      <c r="P232">
        <v>2024</v>
      </c>
    </row>
    <row r="233" spans="1:16" x14ac:dyDescent="0.3">
      <c r="A233" t="s">
        <v>378</v>
      </c>
      <c r="B233" s="3">
        <v>45724</v>
      </c>
      <c r="C233" t="s">
        <v>55</v>
      </c>
      <c r="D233" t="s">
        <v>56</v>
      </c>
      <c r="E233" t="s">
        <v>44</v>
      </c>
      <c r="F233" t="s">
        <v>45</v>
      </c>
      <c r="G233" t="s">
        <v>46</v>
      </c>
      <c r="H233">
        <v>4</v>
      </c>
      <c r="I233">
        <v>149.99</v>
      </c>
      <c r="J233" t="s">
        <v>20</v>
      </c>
      <c r="K233" t="s">
        <v>21</v>
      </c>
      <c r="L233" t="s">
        <v>36</v>
      </c>
      <c r="M233" s="3">
        <v>45263</v>
      </c>
      <c r="N233">
        <v>599.96</v>
      </c>
      <c r="O233">
        <v>12</v>
      </c>
      <c r="P233">
        <v>2023</v>
      </c>
    </row>
    <row r="234" spans="1:16" x14ac:dyDescent="0.3">
      <c r="A234" t="s">
        <v>379</v>
      </c>
      <c r="B234" s="3">
        <v>45726</v>
      </c>
      <c r="C234" t="s">
        <v>144</v>
      </c>
      <c r="D234" t="s">
        <v>145</v>
      </c>
      <c r="E234" t="s">
        <v>17</v>
      </c>
      <c r="F234" t="s">
        <v>18</v>
      </c>
      <c r="G234" t="s">
        <v>19</v>
      </c>
      <c r="H234">
        <v>1</v>
      </c>
      <c r="I234">
        <v>249.99</v>
      </c>
      <c r="J234" t="s">
        <v>20</v>
      </c>
      <c r="K234" t="s">
        <v>40</v>
      </c>
      <c r="L234" t="s">
        <v>36</v>
      </c>
      <c r="M234" s="3">
        <v>45117</v>
      </c>
      <c r="N234">
        <v>249.99</v>
      </c>
      <c r="O234">
        <v>7</v>
      </c>
      <c r="P234">
        <v>2023</v>
      </c>
    </row>
    <row r="235" spans="1:16" x14ac:dyDescent="0.3">
      <c r="A235" t="s">
        <v>380</v>
      </c>
      <c r="B235" s="3">
        <v>45734</v>
      </c>
      <c r="C235" t="s">
        <v>192</v>
      </c>
      <c r="D235" t="s">
        <v>193</v>
      </c>
      <c r="E235" t="s">
        <v>31</v>
      </c>
      <c r="F235" t="s">
        <v>32</v>
      </c>
      <c r="G235" t="s">
        <v>33</v>
      </c>
      <c r="H235">
        <v>2</v>
      </c>
      <c r="I235">
        <v>59.99</v>
      </c>
      <c r="J235" t="s">
        <v>26</v>
      </c>
      <c r="K235" t="s">
        <v>50</v>
      </c>
      <c r="L235" t="s">
        <v>22</v>
      </c>
      <c r="M235" s="3">
        <v>45193</v>
      </c>
      <c r="N235">
        <v>119.98</v>
      </c>
      <c r="O235">
        <v>9</v>
      </c>
      <c r="P235">
        <v>2023</v>
      </c>
    </row>
    <row r="236" spans="1:16" x14ac:dyDescent="0.3">
      <c r="A236" t="s">
        <v>381</v>
      </c>
      <c r="B236" s="3">
        <v>45737</v>
      </c>
      <c r="C236" t="s">
        <v>132</v>
      </c>
      <c r="D236" t="s">
        <v>133</v>
      </c>
      <c r="E236" t="s">
        <v>44</v>
      </c>
      <c r="F236" t="s">
        <v>45</v>
      </c>
      <c r="G236" t="s">
        <v>46</v>
      </c>
      <c r="H236">
        <v>2</v>
      </c>
      <c r="I236">
        <v>149.99</v>
      </c>
      <c r="J236" t="s">
        <v>20</v>
      </c>
      <c r="K236" t="s">
        <v>50</v>
      </c>
      <c r="L236" t="s">
        <v>27</v>
      </c>
      <c r="M236" s="3">
        <v>45233</v>
      </c>
      <c r="N236">
        <v>299.98</v>
      </c>
      <c r="O236">
        <v>11</v>
      </c>
      <c r="P236">
        <v>2023</v>
      </c>
    </row>
    <row r="237" spans="1:16" x14ac:dyDescent="0.3">
      <c r="A237" t="s">
        <v>382</v>
      </c>
      <c r="B237" s="3">
        <v>45737</v>
      </c>
      <c r="C237" t="s">
        <v>150</v>
      </c>
      <c r="D237" t="s">
        <v>151</v>
      </c>
      <c r="E237" t="s">
        <v>61</v>
      </c>
      <c r="F237" t="s">
        <v>62</v>
      </c>
      <c r="G237" t="s">
        <v>19</v>
      </c>
      <c r="H237">
        <v>3</v>
      </c>
      <c r="I237">
        <v>899.99</v>
      </c>
      <c r="J237" t="s">
        <v>57</v>
      </c>
      <c r="K237" t="s">
        <v>40</v>
      </c>
      <c r="L237" t="s">
        <v>27</v>
      </c>
      <c r="M237" s="3">
        <v>44876</v>
      </c>
      <c r="N237">
        <v>2699.97</v>
      </c>
      <c r="O237">
        <v>11</v>
      </c>
      <c r="P237">
        <v>2022</v>
      </c>
    </row>
    <row r="238" spans="1:16" x14ac:dyDescent="0.3">
      <c r="A238" t="s">
        <v>383</v>
      </c>
      <c r="B238" s="3">
        <v>45737</v>
      </c>
      <c r="C238" t="s">
        <v>48</v>
      </c>
      <c r="D238" t="s">
        <v>49</v>
      </c>
      <c r="E238" t="s">
        <v>61</v>
      </c>
      <c r="F238" t="s">
        <v>62</v>
      </c>
      <c r="G238" t="s">
        <v>19</v>
      </c>
      <c r="H238">
        <v>3</v>
      </c>
      <c r="I238">
        <v>899.99</v>
      </c>
      <c r="J238" t="s">
        <v>34</v>
      </c>
      <c r="K238" t="s">
        <v>40</v>
      </c>
      <c r="L238" t="s">
        <v>22</v>
      </c>
      <c r="M238" s="3">
        <v>44975</v>
      </c>
      <c r="N238">
        <v>2699.97</v>
      </c>
      <c r="O238">
        <v>2</v>
      </c>
      <c r="P238">
        <v>2023</v>
      </c>
    </row>
    <row r="239" spans="1:16" x14ac:dyDescent="0.3">
      <c r="A239" t="s">
        <v>384</v>
      </c>
      <c r="B239" s="3">
        <v>45739</v>
      </c>
      <c r="C239" t="s">
        <v>15</v>
      </c>
      <c r="D239" t="s">
        <v>16</v>
      </c>
      <c r="E239" t="s">
        <v>105</v>
      </c>
      <c r="F239" t="s">
        <v>106</v>
      </c>
      <c r="G239" t="s">
        <v>46</v>
      </c>
      <c r="H239">
        <v>3</v>
      </c>
      <c r="I239">
        <v>299.99</v>
      </c>
      <c r="J239" t="s">
        <v>26</v>
      </c>
      <c r="K239" t="s">
        <v>50</v>
      </c>
      <c r="L239" t="s">
        <v>27</v>
      </c>
      <c r="M239" s="3">
        <v>45234</v>
      </c>
      <c r="N239">
        <v>899.97</v>
      </c>
      <c r="O239">
        <v>11</v>
      </c>
      <c r="P239">
        <v>2023</v>
      </c>
    </row>
    <row r="240" spans="1:16" x14ac:dyDescent="0.3">
      <c r="A240" t="s">
        <v>385</v>
      </c>
      <c r="B240" s="3">
        <v>45740</v>
      </c>
      <c r="C240" t="s">
        <v>386</v>
      </c>
      <c r="D240" t="s">
        <v>387</v>
      </c>
      <c r="E240" t="s">
        <v>44</v>
      </c>
      <c r="F240" t="s">
        <v>45</v>
      </c>
      <c r="G240" t="s">
        <v>46</v>
      </c>
      <c r="H240">
        <v>4</v>
      </c>
      <c r="I240">
        <v>149.99</v>
      </c>
      <c r="J240" t="s">
        <v>34</v>
      </c>
      <c r="K240" t="s">
        <v>50</v>
      </c>
      <c r="L240" t="s">
        <v>36</v>
      </c>
      <c r="M240" s="3">
        <v>44560</v>
      </c>
      <c r="N240">
        <v>599.96</v>
      </c>
      <c r="O240">
        <v>12</v>
      </c>
      <c r="P240">
        <v>2021</v>
      </c>
    </row>
    <row r="241" spans="1:16"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c r="O241">
        <v>12</v>
      </c>
      <c r="P241">
        <v>2023</v>
      </c>
    </row>
    <row r="242" spans="1:16" x14ac:dyDescent="0.3">
      <c r="A242" t="s">
        <v>389</v>
      </c>
      <c r="B242" s="3">
        <v>45745</v>
      </c>
      <c r="C242" t="s">
        <v>185</v>
      </c>
      <c r="D242" t="s">
        <v>186</v>
      </c>
      <c r="E242" t="s">
        <v>117</v>
      </c>
      <c r="F242" t="s">
        <v>118</v>
      </c>
      <c r="G242" t="s">
        <v>19</v>
      </c>
      <c r="H242">
        <v>5</v>
      </c>
      <c r="I242">
        <v>89.99</v>
      </c>
      <c r="J242" t="s">
        <v>34</v>
      </c>
      <c r="K242" t="s">
        <v>35</v>
      </c>
      <c r="L242" t="s">
        <v>22</v>
      </c>
      <c r="M242" s="3">
        <v>44704</v>
      </c>
      <c r="N242">
        <v>449.95</v>
      </c>
      <c r="O242">
        <v>5</v>
      </c>
      <c r="P242">
        <v>2022</v>
      </c>
    </row>
    <row r="243" spans="1:16" x14ac:dyDescent="0.3">
      <c r="A243" t="s">
        <v>390</v>
      </c>
      <c r="B243" s="3">
        <v>45746</v>
      </c>
      <c r="C243" t="s">
        <v>93</v>
      </c>
      <c r="D243" t="s">
        <v>94</v>
      </c>
      <c r="E243" t="s">
        <v>44</v>
      </c>
      <c r="F243" t="s">
        <v>45</v>
      </c>
      <c r="G243" t="s">
        <v>46</v>
      </c>
      <c r="H243">
        <v>3</v>
      </c>
      <c r="I243">
        <v>149.99</v>
      </c>
      <c r="J243" t="s">
        <v>34</v>
      </c>
      <c r="K243" t="s">
        <v>21</v>
      </c>
      <c r="L243" t="s">
        <v>36</v>
      </c>
      <c r="M243" s="3">
        <v>45171</v>
      </c>
      <c r="N243">
        <v>449.97</v>
      </c>
      <c r="O243">
        <v>9</v>
      </c>
      <c r="P243">
        <v>2023</v>
      </c>
    </row>
    <row r="244" spans="1:16" x14ac:dyDescent="0.3">
      <c r="A244" t="s">
        <v>391</v>
      </c>
      <c r="B244" s="3">
        <v>45746</v>
      </c>
      <c r="C244" t="s">
        <v>65</v>
      </c>
      <c r="D244" t="s">
        <v>66</v>
      </c>
      <c r="E244" t="s">
        <v>117</v>
      </c>
      <c r="F244" t="s">
        <v>118</v>
      </c>
      <c r="G244" t="s">
        <v>19</v>
      </c>
      <c r="H244">
        <v>2</v>
      </c>
      <c r="I244">
        <v>89.99</v>
      </c>
      <c r="J244" t="s">
        <v>57</v>
      </c>
      <c r="K244" t="s">
        <v>50</v>
      </c>
      <c r="L244" t="s">
        <v>27</v>
      </c>
      <c r="M244" s="3">
        <v>44522</v>
      </c>
      <c r="N244">
        <v>179.98</v>
      </c>
      <c r="O244">
        <v>11</v>
      </c>
      <c r="P244">
        <v>2021</v>
      </c>
    </row>
    <row r="245" spans="1:16" x14ac:dyDescent="0.3">
      <c r="A245" t="s">
        <v>392</v>
      </c>
      <c r="B245" s="3">
        <v>45748</v>
      </c>
      <c r="C245" t="s">
        <v>102</v>
      </c>
      <c r="D245" t="s">
        <v>103</v>
      </c>
      <c r="E245" t="s">
        <v>80</v>
      </c>
      <c r="F245" t="s">
        <v>81</v>
      </c>
      <c r="G245" t="s">
        <v>19</v>
      </c>
      <c r="H245">
        <v>2</v>
      </c>
      <c r="I245">
        <v>699.99</v>
      </c>
      <c r="J245" t="s">
        <v>34</v>
      </c>
      <c r="K245" t="s">
        <v>40</v>
      </c>
      <c r="L245" t="s">
        <v>36</v>
      </c>
      <c r="M245" s="3">
        <v>44618</v>
      </c>
      <c r="N245">
        <v>1399.98</v>
      </c>
      <c r="O245">
        <v>2</v>
      </c>
      <c r="P245">
        <v>2022</v>
      </c>
    </row>
    <row r="246" spans="1:16" x14ac:dyDescent="0.3">
      <c r="A246" t="s">
        <v>393</v>
      </c>
      <c r="B246" s="3">
        <v>45749</v>
      </c>
      <c r="C246" t="s">
        <v>123</v>
      </c>
      <c r="D246" t="s">
        <v>124</v>
      </c>
      <c r="E246" t="s">
        <v>61</v>
      </c>
      <c r="F246" t="s">
        <v>62</v>
      </c>
      <c r="G246" t="s">
        <v>19</v>
      </c>
      <c r="H246">
        <v>3</v>
      </c>
      <c r="I246">
        <v>899.99</v>
      </c>
      <c r="J246" t="s">
        <v>20</v>
      </c>
      <c r="K246" t="s">
        <v>21</v>
      </c>
      <c r="L246" t="s">
        <v>36</v>
      </c>
      <c r="M246" s="3">
        <v>44953</v>
      </c>
      <c r="N246">
        <v>2699.97</v>
      </c>
      <c r="O246">
        <v>1</v>
      </c>
      <c r="P246">
        <v>2023</v>
      </c>
    </row>
    <row r="247" spans="1:16"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c r="O247">
        <v>11</v>
      </c>
      <c r="P247">
        <v>2021</v>
      </c>
    </row>
    <row r="248" spans="1:16" x14ac:dyDescent="0.3">
      <c r="A248" t="s">
        <v>395</v>
      </c>
      <c r="B248" s="3">
        <v>45756</v>
      </c>
      <c r="C248" t="s">
        <v>59</v>
      </c>
      <c r="D248" t="s">
        <v>60</v>
      </c>
      <c r="E248" t="s">
        <v>117</v>
      </c>
      <c r="F248" t="s">
        <v>118</v>
      </c>
      <c r="G248" t="s">
        <v>19</v>
      </c>
      <c r="H248">
        <v>1</v>
      </c>
      <c r="I248">
        <v>89.99</v>
      </c>
      <c r="J248" t="s">
        <v>57</v>
      </c>
      <c r="K248" t="s">
        <v>63</v>
      </c>
      <c r="L248" t="s">
        <v>22</v>
      </c>
      <c r="M248" s="3">
        <v>45346</v>
      </c>
      <c r="N248">
        <v>89.99</v>
      </c>
      <c r="O248">
        <v>2</v>
      </c>
      <c r="P248">
        <v>2024</v>
      </c>
    </row>
    <row r="249" spans="1:16"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c r="O249">
        <v>12</v>
      </c>
      <c r="P249">
        <v>2022</v>
      </c>
    </row>
    <row r="250" spans="1:16" x14ac:dyDescent="0.3">
      <c r="A250" t="s">
        <v>397</v>
      </c>
      <c r="B250" s="3">
        <v>45758</v>
      </c>
      <c r="C250" t="s">
        <v>226</v>
      </c>
      <c r="D250" t="s">
        <v>227</v>
      </c>
      <c r="E250" t="s">
        <v>117</v>
      </c>
      <c r="F250" t="s">
        <v>118</v>
      </c>
      <c r="G250" t="s">
        <v>19</v>
      </c>
      <c r="H250">
        <v>2</v>
      </c>
      <c r="I250">
        <v>89.99</v>
      </c>
      <c r="J250" t="s">
        <v>57</v>
      </c>
      <c r="K250" t="s">
        <v>63</v>
      </c>
      <c r="L250" t="s">
        <v>22</v>
      </c>
      <c r="M250" s="3">
        <v>45088</v>
      </c>
      <c r="N250">
        <v>179.98</v>
      </c>
      <c r="O250">
        <v>6</v>
      </c>
      <c r="P250">
        <v>2023</v>
      </c>
    </row>
    <row r="251" spans="1:16"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c r="O251">
        <v>11</v>
      </c>
      <c r="P251">
        <v>2022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43B2-41ED-4001-A197-154DD6AC9A52}">
  <dimension ref="A1:AA51"/>
  <sheetViews>
    <sheetView showGridLines="0" zoomScale="73" workbookViewId="0">
      <selection activeCell="U4" sqref="U4:V17"/>
    </sheetView>
  </sheetViews>
  <sheetFormatPr defaultRowHeight="14.4" x14ac:dyDescent="0.3"/>
  <cols>
    <col min="1" max="1" width="20.44140625" customWidth="1"/>
    <col min="2" max="2" width="14.88671875" bestFit="1" customWidth="1"/>
    <col min="3" max="3" width="5.33203125" customWidth="1"/>
    <col min="4" max="4" width="12.5546875" bestFit="1" customWidth="1"/>
    <col min="5" max="5" width="19.77734375" bestFit="1" customWidth="1"/>
    <col min="6" max="6" width="12.109375" bestFit="1" customWidth="1"/>
    <col min="7" max="7" width="10.5546875" bestFit="1" customWidth="1"/>
    <col min="8" max="8" width="12.109375" bestFit="1" customWidth="1"/>
    <col min="9" max="9" width="14.88671875" bestFit="1" customWidth="1"/>
    <col min="10" max="10" width="8.109375" customWidth="1"/>
    <col min="11" max="11" width="4.109375" customWidth="1"/>
    <col min="12" max="12" width="16.33203125" customWidth="1"/>
    <col min="14" max="14" width="5.21875" customWidth="1"/>
    <col min="15" max="15" width="13.33203125" bestFit="1" customWidth="1"/>
    <col min="16" max="16" width="19.77734375" bestFit="1" customWidth="1"/>
    <col min="18" max="18" width="14.88671875" bestFit="1" customWidth="1"/>
    <col min="19" max="19" width="19.77734375" bestFit="1" customWidth="1"/>
    <col min="21" max="21" width="13.33203125" bestFit="1" customWidth="1"/>
    <col min="22" max="22" width="19.77734375" bestFit="1" customWidth="1"/>
    <col min="24" max="24" width="14.21875" bestFit="1" customWidth="1"/>
    <col min="25" max="25" width="19.77734375" bestFit="1" customWidth="1"/>
    <col min="27" max="27" width="12.5546875" bestFit="1" customWidth="1"/>
    <col min="28" max="28" width="19.77734375" bestFit="1" customWidth="1"/>
  </cols>
  <sheetData>
    <row r="1" spans="1:27" x14ac:dyDescent="0.3">
      <c r="L1" s="29" t="s">
        <v>3</v>
      </c>
      <c r="M1" s="29" t="s">
        <v>441</v>
      </c>
    </row>
    <row r="2" spans="1:27" ht="18" x14ac:dyDescent="0.35">
      <c r="A2" s="31" t="s">
        <v>442</v>
      </c>
      <c r="D2" s="16" t="s">
        <v>438</v>
      </c>
      <c r="E2" s="16" t="s">
        <v>454</v>
      </c>
      <c r="L2" t="s">
        <v>16</v>
      </c>
      <c r="M2">
        <f>YEAR(Table1[[#This Row],[Customer_Since]])</f>
        <v>2021</v>
      </c>
      <c r="O2" s="33" t="s">
        <v>449</v>
      </c>
      <c r="P2" s="32"/>
      <c r="R2" s="29"/>
      <c r="X2" s="29"/>
      <c r="Y2" s="29"/>
      <c r="AA2" s="29"/>
    </row>
    <row r="3" spans="1:27" x14ac:dyDescent="0.3">
      <c r="A3" t="s">
        <v>438</v>
      </c>
      <c r="D3" s="16" t="s">
        <v>433</v>
      </c>
      <c r="E3" s="30" t="s">
        <v>33</v>
      </c>
      <c r="F3" s="30" t="s">
        <v>19</v>
      </c>
      <c r="G3" s="30" t="s">
        <v>46</v>
      </c>
      <c r="H3" s="30" t="s">
        <v>434</v>
      </c>
      <c r="L3" t="s">
        <v>25</v>
      </c>
      <c r="M3">
        <f>YEAR(Table1[[#This Row],[Customer_Since]])</f>
        <v>2022</v>
      </c>
      <c r="O3" s="16" t="s">
        <v>433</v>
      </c>
      <c r="P3" t="s">
        <v>448</v>
      </c>
      <c r="R3" s="29" t="s">
        <v>10</v>
      </c>
      <c r="S3" s="29" t="s">
        <v>447</v>
      </c>
      <c r="U3" s="33" t="s">
        <v>452</v>
      </c>
      <c r="V3" s="32"/>
    </row>
    <row r="4" spans="1:27" x14ac:dyDescent="0.3">
      <c r="A4" s="30">
        <v>229192.47000000032</v>
      </c>
      <c r="D4" s="17">
        <v>2021</v>
      </c>
      <c r="E4" s="30">
        <v>1339.81</v>
      </c>
      <c r="F4" s="30">
        <v>29679.15</v>
      </c>
      <c r="G4" s="30">
        <v>13649.369999999999</v>
      </c>
      <c r="H4" s="30">
        <v>44668.33</v>
      </c>
      <c r="I4" s="29" t="s">
        <v>446</v>
      </c>
      <c r="J4" s="29" t="s">
        <v>447</v>
      </c>
      <c r="L4" t="s">
        <v>30</v>
      </c>
      <c r="M4">
        <f>YEAR(Table1[[#This Row],[Customer_Since]])</f>
        <v>2023</v>
      </c>
      <c r="O4" s="17">
        <v>2024</v>
      </c>
      <c r="P4">
        <v>22</v>
      </c>
      <c r="R4" t="str">
        <f>O16</f>
        <v>Central</v>
      </c>
      <c r="S4" s="30">
        <f>GETPIVOTDATA("Total_Amount",$O$16,"Region",R4)</f>
        <v>41288.340000000018</v>
      </c>
      <c r="U4" s="16" t="s">
        <v>433</v>
      </c>
      <c r="V4" t="s">
        <v>438</v>
      </c>
    </row>
    <row r="5" spans="1:27" x14ac:dyDescent="0.3">
      <c r="A5" s="30">
        <f>GETPIVOTDATA("Total_Amount",$A$3)</f>
        <v>229192.47000000032</v>
      </c>
      <c r="D5" s="17">
        <v>2022</v>
      </c>
      <c r="E5" s="30">
        <v>2639.6</v>
      </c>
      <c r="F5" s="30">
        <v>63378.450000000004</v>
      </c>
      <c r="G5" s="30">
        <v>15799.229999999994</v>
      </c>
      <c r="H5" s="30">
        <v>81817.279999999999</v>
      </c>
      <c r="I5" t="str">
        <f t="shared" ref="I5:I14" si="0">D21</f>
        <v>Laptop</v>
      </c>
      <c r="J5" s="30">
        <f t="shared" ref="J5:J14" si="1">GETPIVOTDATA("Total_Amount",$D$21,"Product_Name",D21)</f>
        <v>67499.25</v>
      </c>
      <c r="L5" t="s">
        <v>39</v>
      </c>
      <c r="M5">
        <f>YEAR(Table1[[#This Row],[Customer_Since]])</f>
        <v>2023</v>
      </c>
      <c r="O5" s="17">
        <v>2021</v>
      </c>
      <c r="P5">
        <v>51</v>
      </c>
      <c r="R5" t="str">
        <f>O17</f>
        <v>East</v>
      </c>
      <c r="S5" s="30">
        <f>GETPIVOTDATA("Total_Amount",$O$16,"Region",R5)</f>
        <v>59288.389999999992</v>
      </c>
      <c r="U5" s="17">
        <v>1</v>
      </c>
      <c r="V5" s="30">
        <v>8759.6999999999989</v>
      </c>
    </row>
    <row r="6" spans="1:27" x14ac:dyDescent="0.3">
      <c r="D6" s="17">
        <v>2023</v>
      </c>
      <c r="E6" s="30">
        <v>3899.3999999999992</v>
      </c>
      <c r="F6" s="30">
        <v>57168.819999999992</v>
      </c>
      <c r="G6" s="30">
        <v>16199.299999999996</v>
      </c>
      <c r="H6" s="30">
        <v>77267.51999999999</v>
      </c>
      <c r="I6" t="str">
        <f t="shared" si="0"/>
        <v>Smartphone</v>
      </c>
      <c r="J6" s="30">
        <f t="shared" si="1"/>
        <v>67199.039999999994</v>
      </c>
      <c r="L6" t="s">
        <v>43</v>
      </c>
      <c r="M6">
        <f>YEAR(Table1[[#This Row],[Customer_Since]])</f>
        <v>2024</v>
      </c>
      <c r="O6" s="17">
        <v>2022</v>
      </c>
      <c r="P6">
        <v>94</v>
      </c>
      <c r="R6" t="str">
        <f>O18</f>
        <v>North</v>
      </c>
      <c r="S6" s="30">
        <f>GETPIVOTDATA("Total_Amount",$O$16,"Region",R6)</f>
        <v>50808.310000000012</v>
      </c>
      <c r="U6" s="17">
        <v>2</v>
      </c>
      <c r="V6" s="30">
        <v>9359.84</v>
      </c>
    </row>
    <row r="7" spans="1:27" ht="18" x14ac:dyDescent="0.35">
      <c r="A7" s="31" t="s">
        <v>443</v>
      </c>
      <c r="B7" s="32"/>
      <c r="C7" s="32"/>
      <c r="D7" s="17">
        <v>2024</v>
      </c>
      <c r="E7" s="30">
        <v>459.93</v>
      </c>
      <c r="F7" s="30">
        <v>21529.63</v>
      </c>
      <c r="G7" s="30">
        <v>3449.7799999999997</v>
      </c>
      <c r="H7" s="30">
        <v>25439.34</v>
      </c>
      <c r="I7" t="str">
        <f t="shared" si="0"/>
        <v>Desk</v>
      </c>
      <c r="J7" s="30">
        <f t="shared" si="1"/>
        <v>23399.22</v>
      </c>
      <c r="L7" t="s">
        <v>49</v>
      </c>
      <c r="M7">
        <f>YEAR(Table1[[#This Row],[Customer_Since]])</f>
        <v>2022</v>
      </c>
      <c r="O7" s="17">
        <v>2023</v>
      </c>
      <c r="P7">
        <v>83</v>
      </c>
      <c r="R7" t="str">
        <f>O19</f>
        <v>South</v>
      </c>
      <c r="S7" s="30">
        <f>GETPIVOTDATA("Total_Amount",$O$16,"Region",R7)</f>
        <v>36398.750000000007</v>
      </c>
      <c r="U7" s="17">
        <v>3</v>
      </c>
      <c r="V7" s="30">
        <v>8179.8799999999992</v>
      </c>
    </row>
    <row r="8" spans="1:27" x14ac:dyDescent="0.3">
      <c r="A8" s="16" t="s">
        <v>433</v>
      </c>
      <c r="B8" t="s">
        <v>435</v>
      </c>
      <c r="D8" s="17" t="s">
        <v>434</v>
      </c>
      <c r="E8" s="30">
        <v>8338.74</v>
      </c>
      <c r="F8" s="30">
        <v>171756.05</v>
      </c>
      <c r="G8" s="30">
        <v>49097.679999999986</v>
      </c>
      <c r="H8" s="30">
        <v>229192.47</v>
      </c>
      <c r="I8" t="str">
        <f t="shared" si="0"/>
        <v>Monitor</v>
      </c>
      <c r="J8" s="30">
        <f t="shared" si="1"/>
        <v>21999.119999999999</v>
      </c>
      <c r="L8" t="s">
        <v>56</v>
      </c>
      <c r="M8">
        <f>YEAR(Table1[[#This Row],[Customer_Since]])</f>
        <v>2021</v>
      </c>
      <c r="O8" s="17" t="s">
        <v>434</v>
      </c>
      <c r="P8">
        <v>250</v>
      </c>
      <c r="R8" t="str">
        <f>O20</f>
        <v>West</v>
      </c>
      <c r="S8" s="30">
        <f>GETPIVOTDATA("Total_Amount",$O$16,"Region",R8)</f>
        <v>41408.680000000015</v>
      </c>
      <c r="U8" s="17">
        <v>4</v>
      </c>
      <c r="V8" s="30">
        <v>2399.94</v>
      </c>
    </row>
    <row r="9" spans="1:27" x14ac:dyDescent="0.3">
      <c r="A9" s="17" t="s">
        <v>32</v>
      </c>
      <c r="B9">
        <v>87</v>
      </c>
      <c r="I9" t="str">
        <f t="shared" si="0"/>
        <v>Bookshelf</v>
      </c>
      <c r="J9" s="30">
        <f t="shared" si="1"/>
        <v>15298.979999999994</v>
      </c>
      <c r="L9" t="s">
        <v>60</v>
      </c>
      <c r="M9">
        <f>YEAR(Table1[[#This Row],[Customer_Since]])</f>
        <v>2023</v>
      </c>
      <c r="U9" s="17">
        <v>5</v>
      </c>
      <c r="V9" s="30">
        <v>7549.8099999999995</v>
      </c>
    </row>
    <row r="10" spans="1:27" x14ac:dyDescent="0.3">
      <c r="A10" s="17" t="s">
        <v>45</v>
      </c>
      <c r="B10">
        <v>102</v>
      </c>
      <c r="I10" t="str">
        <f t="shared" si="0"/>
        <v>Office Chair</v>
      </c>
      <c r="J10" s="30">
        <f t="shared" si="1"/>
        <v>10399.479999999998</v>
      </c>
      <c r="L10" t="s">
        <v>66</v>
      </c>
      <c r="M10">
        <f>YEAR(Table1[[#This Row],[Customer_Since]])</f>
        <v>2024</v>
      </c>
      <c r="U10" s="17">
        <v>6</v>
      </c>
      <c r="V10" s="30">
        <v>3599.96</v>
      </c>
    </row>
    <row r="11" spans="1:27" ht="18" x14ac:dyDescent="0.35">
      <c r="A11" s="17" t="s">
        <v>115</v>
      </c>
      <c r="B11">
        <v>39</v>
      </c>
      <c r="D11" s="31" t="s">
        <v>444</v>
      </c>
      <c r="E11" s="32"/>
      <c r="I11" t="str">
        <f t="shared" si="0"/>
        <v>Keyboard</v>
      </c>
      <c r="J11" s="30">
        <f t="shared" si="1"/>
        <v>8009.1099999999969</v>
      </c>
      <c r="L11" t="s">
        <v>69</v>
      </c>
      <c r="M11">
        <f>YEAR(Table1[[#This Row],[Customer_Since]])</f>
        <v>2023</v>
      </c>
      <c r="U11" s="17">
        <v>7</v>
      </c>
      <c r="V11" s="30">
        <v>2839.9300000000003</v>
      </c>
    </row>
    <row r="12" spans="1:27" x14ac:dyDescent="0.3">
      <c r="A12" s="17" t="s">
        <v>106</v>
      </c>
      <c r="B12">
        <v>78</v>
      </c>
      <c r="D12" s="16" t="s">
        <v>433</v>
      </c>
      <c r="E12" t="s">
        <v>438</v>
      </c>
      <c r="I12" t="str">
        <f t="shared" si="0"/>
        <v>Headphones</v>
      </c>
      <c r="J12" s="30">
        <f t="shared" si="1"/>
        <v>7049.5299999999988</v>
      </c>
      <c r="L12" t="s">
        <v>73</v>
      </c>
      <c r="M12">
        <f>YEAR(Table1[[#This Row],[Customer_Since]])</f>
        <v>2023</v>
      </c>
      <c r="U12" s="17">
        <v>8</v>
      </c>
      <c r="V12" s="30">
        <v>2919.8999999999996</v>
      </c>
    </row>
    <row r="13" spans="1:27" x14ac:dyDescent="0.3">
      <c r="A13" s="17" t="s">
        <v>53</v>
      </c>
      <c r="B13">
        <v>47</v>
      </c>
      <c r="D13" s="17" t="s">
        <v>33</v>
      </c>
      <c r="E13" s="30">
        <v>8338.7399999999961</v>
      </c>
      <c r="I13" t="str">
        <f t="shared" si="0"/>
        <v>Blender</v>
      </c>
      <c r="J13" s="30">
        <f t="shared" si="1"/>
        <v>5219.1299999999974</v>
      </c>
      <c r="L13" t="s">
        <v>76</v>
      </c>
      <c r="M13">
        <f>YEAR(Table1[[#This Row],[Customer_Since]])</f>
        <v>2022</v>
      </c>
      <c r="U13" s="17">
        <v>9</v>
      </c>
      <c r="V13" s="30">
        <v>1599.9</v>
      </c>
    </row>
    <row r="14" spans="1:27" x14ac:dyDescent="0.3">
      <c r="A14" s="17" t="s">
        <v>118</v>
      </c>
      <c r="B14">
        <v>89</v>
      </c>
      <c r="D14" s="17" t="s">
        <v>19</v>
      </c>
      <c r="E14" s="30">
        <v>171756.05000000013</v>
      </c>
      <c r="I14" t="str">
        <f t="shared" si="0"/>
        <v>Coffee Maker</v>
      </c>
      <c r="J14" s="30">
        <f t="shared" si="1"/>
        <v>3119.6099999999992</v>
      </c>
      <c r="L14" t="s">
        <v>79</v>
      </c>
      <c r="M14">
        <f>YEAR(Table1[[#This Row],[Customer_Since]])</f>
        <v>2022</v>
      </c>
      <c r="O14" s="33" t="s">
        <v>450</v>
      </c>
      <c r="P14" s="32"/>
      <c r="R14" s="33" t="s">
        <v>451</v>
      </c>
      <c r="S14" s="32"/>
      <c r="U14" s="17">
        <v>11</v>
      </c>
      <c r="V14" s="30">
        <v>6869.82</v>
      </c>
    </row>
    <row r="15" spans="1:27" x14ac:dyDescent="0.3">
      <c r="A15" s="17" t="s">
        <v>62</v>
      </c>
      <c r="B15">
        <v>75</v>
      </c>
      <c r="D15" s="17" t="s">
        <v>46</v>
      </c>
      <c r="E15" s="30">
        <v>49097.680000000015</v>
      </c>
      <c r="L15" t="s">
        <v>84</v>
      </c>
      <c r="M15">
        <f>YEAR(Table1[[#This Row],[Customer_Since]])</f>
        <v>2024</v>
      </c>
      <c r="O15" s="16" t="s">
        <v>433</v>
      </c>
      <c r="P15" t="s">
        <v>438</v>
      </c>
      <c r="R15" s="16" t="s">
        <v>433</v>
      </c>
      <c r="S15" t="s">
        <v>438</v>
      </c>
      <c r="U15" s="17">
        <v>12</v>
      </c>
      <c r="V15" s="30">
        <v>9299.7699999999986</v>
      </c>
    </row>
    <row r="16" spans="1:27" x14ac:dyDescent="0.3">
      <c r="A16" s="17" t="s">
        <v>18</v>
      </c>
      <c r="B16">
        <v>88</v>
      </c>
      <c r="D16" s="17" t="s">
        <v>439</v>
      </c>
      <c r="I16" s="33" t="s">
        <v>453</v>
      </c>
      <c r="L16" t="s">
        <v>87</v>
      </c>
      <c r="M16">
        <f>YEAR(Table1[[#This Row],[Customer_Since]])</f>
        <v>2022</v>
      </c>
      <c r="O16" s="17" t="s">
        <v>21</v>
      </c>
      <c r="P16" s="30">
        <v>41288.340000000018</v>
      </c>
      <c r="R16" s="17" t="s">
        <v>16</v>
      </c>
      <c r="S16" s="30">
        <v>8309.739999999998</v>
      </c>
      <c r="U16" s="17" t="s">
        <v>434</v>
      </c>
      <c r="V16">
        <v>63378.45</v>
      </c>
    </row>
    <row r="17" spans="1:19" x14ac:dyDescent="0.3">
      <c r="A17" s="17" t="s">
        <v>127</v>
      </c>
      <c r="B17">
        <v>52</v>
      </c>
      <c r="D17" s="17" t="s">
        <v>434</v>
      </c>
      <c r="E17">
        <v>229192.47000000015</v>
      </c>
      <c r="I17" t="s">
        <v>435</v>
      </c>
      <c r="L17" t="s">
        <v>90</v>
      </c>
      <c r="M17">
        <f>YEAR(Table1[[#This Row],[Customer_Since]])</f>
        <v>2022</v>
      </c>
      <c r="O17" s="17" t="s">
        <v>63</v>
      </c>
      <c r="P17" s="30">
        <v>59288.389999999992</v>
      </c>
      <c r="R17" s="17" t="s">
        <v>100</v>
      </c>
      <c r="S17" s="30">
        <v>9799.73</v>
      </c>
    </row>
    <row r="18" spans="1:19" x14ac:dyDescent="0.3">
      <c r="A18" s="17" t="s">
        <v>81</v>
      </c>
      <c r="B18">
        <v>96</v>
      </c>
      <c r="I18">
        <v>753</v>
      </c>
      <c r="L18" t="s">
        <v>94</v>
      </c>
      <c r="M18">
        <f>YEAR(Table1[[#This Row],[Customer_Since]])</f>
        <v>2024</v>
      </c>
      <c r="O18" s="17" t="s">
        <v>40</v>
      </c>
      <c r="P18" s="30">
        <v>50808.310000000012</v>
      </c>
      <c r="R18" s="17" t="s">
        <v>97</v>
      </c>
      <c r="S18" s="30">
        <v>10649.8</v>
      </c>
    </row>
    <row r="19" spans="1:19" ht="18" x14ac:dyDescent="0.35">
      <c r="A19" s="17" t="s">
        <v>439</v>
      </c>
      <c r="D19" s="31" t="s">
        <v>445</v>
      </c>
      <c r="E19" s="32"/>
      <c r="I19">
        <f>GETPIVOTDATA("Quantity",$I$17)</f>
        <v>753</v>
      </c>
      <c r="L19" t="s">
        <v>97</v>
      </c>
      <c r="M19">
        <f>YEAR(Table1[[#This Row],[Customer_Since]])</f>
        <v>2022</v>
      </c>
      <c r="O19" s="17" t="s">
        <v>35</v>
      </c>
      <c r="P19" s="30">
        <v>36398.750000000007</v>
      </c>
      <c r="R19" s="17" t="s">
        <v>124</v>
      </c>
      <c r="S19" s="30">
        <v>11919.769999999999</v>
      </c>
    </row>
    <row r="20" spans="1:19" x14ac:dyDescent="0.3">
      <c r="A20" s="17" t="s">
        <v>434</v>
      </c>
      <c r="B20">
        <v>753</v>
      </c>
      <c r="D20" s="16" t="s">
        <v>433</v>
      </c>
      <c r="E20" t="s">
        <v>438</v>
      </c>
      <c r="L20" t="s">
        <v>100</v>
      </c>
      <c r="M20">
        <f>YEAR(Table1[[#This Row],[Customer_Since]])</f>
        <v>2024</v>
      </c>
      <c r="O20" s="17" t="s">
        <v>50</v>
      </c>
      <c r="P20" s="30">
        <v>41408.680000000015</v>
      </c>
      <c r="R20" s="17" t="s">
        <v>87</v>
      </c>
      <c r="S20" s="30">
        <v>15659.65</v>
      </c>
    </row>
    <row r="21" spans="1:19" x14ac:dyDescent="0.3">
      <c r="D21" s="17" t="s">
        <v>62</v>
      </c>
      <c r="E21" s="30">
        <v>67499.25</v>
      </c>
      <c r="L21" t="s">
        <v>103</v>
      </c>
      <c r="M21">
        <f>YEAR(Table1[[#This Row],[Customer_Since]])</f>
        <v>2023</v>
      </c>
      <c r="O21" s="17" t="s">
        <v>434</v>
      </c>
      <c r="P21">
        <v>229192.47000000006</v>
      </c>
      <c r="R21" s="17" t="s">
        <v>434</v>
      </c>
      <c r="S21">
        <v>56338.689999999995</v>
      </c>
    </row>
    <row r="22" spans="1:19" x14ac:dyDescent="0.3">
      <c r="D22" s="17" t="s">
        <v>81</v>
      </c>
      <c r="E22" s="30">
        <v>67199.039999999994</v>
      </c>
      <c r="L22" t="s">
        <v>109</v>
      </c>
      <c r="M22">
        <f>YEAR(Table1[[#This Row],[Customer_Since]])</f>
        <v>2023</v>
      </c>
    </row>
    <row r="23" spans="1:19" x14ac:dyDescent="0.3">
      <c r="D23" s="17" t="s">
        <v>106</v>
      </c>
      <c r="E23" s="30">
        <v>23399.22</v>
      </c>
      <c r="L23" t="s">
        <v>113</v>
      </c>
      <c r="M23">
        <f>YEAR(Table1[[#This Row],[Customer_Since]])</f>
        <v>2021</v>
      </c>
    </row>
    <row r="24" spans="1:19" x14ac:dyDescent="0.3">
      <c r="D24" s="17" t="s">
        <v>18</v>
      </c>
      <c r="E24" s="30">
        <v>21999.119999999999</v>
      </c>
      <c r="L24" t="s">
        <v>121</v>
      </c>
      <c r="M24">
        <f>YEAR(Table1[[#This Row],[Customer_Since]])</f>
        <v>2021</v>
      </c>
    </row>
    <row r="25" spans="1:19" x14ac:dyDescent="0.3">
      <c r="D25" s="17" t="s">
        <v>45</v>
      </c>
      <c r="E25" s="30">
        <v>15298.979999999994</v>
      </c>
      <c r="L25" t="s">
        <v>124</v>
      </c>
      <c r="M25">
        <f>YEAR(Table1[[#This Row],[Customer_Since]])</f>
        <v>2022</v>
      </c>
    </row>
    <row r="26" spans="1:19" x14ac:dyDescent="0.3">
      <c r="D26" s="17" t="s">
        <v>127</v>
      </c>
      <c r="E26" s="30">
        <v>10399.479999999998</v>
      </c>
      <c r="L26" t="s">
        <v>130</v>
      </c>
      <c r="M26">
        <f>YEAR(Table1[[#This Row],[Customer_Since]])</f>
        <v>2021</v>
      </c>
    </row>
    <row r="27" spans="1:19" x14ac:dyDescent="0.3">
      <c r="D27" s="17" t="s">
        <v>118</v>
      </c>
      <c r="E27" s="30">
        <v>8009.1099999999969</v>
      </c>
      <c r="L27" t="s">
        <v>133</v>
      </c>
      <c r="M27">
        <f>YEAR(Table1[[#This Row],[Customer_Since]])</f>
        <v>2023</v>
      </c>
    </row>
    <row r="28" spans="1:19" x14ac:dyDescent="0.3">
      <c r="D28" s="17" t="s">
        <v>53</v>
      </c>
      <c r="E28" s="30">
        <v>7049.5299999999988</v>
      </c>
      <c r="L28" t="s">
        <v>139</v>
      </c>
      <c r="M28">
        <f>YEAR(Table1[[#This Row],[Customer_Since]])</f>
        <v>2023</v>
      </c>
    </row>
    <row r="29" spans="1:19" x14ac:dyDescent="0.3">
      <c r="D29" s="17" t="s">
        <v>32</v>
      </c>
      <c r="E29" s="30">
        <v>5219.1299999999974</v>
      </c>
      <c r="L29" t="s">
        <v>142</v>
      </c>
      <c r="M29">
        <f>YEAR(Table1[[#This Row],[Customer_Since]])</f>
        <v>2022</v>
      </c>
    </row>
    <row r="30" spans="1:19" x14ac:dyDescent="0.3">
      <c r="D30" s="17" t="s">
        <v>115</v>
      </c>
      <c r="E30" s="30">
        <v>3119.6099999999992</v>
      </c>
      <c r="L30" t="s">
        <v>145</v>
      </c>
      <c r="M30">
        <f>YEAR(Table1[[#This Row],[Customer_Since]])</f>
        <v>2023</v>
      </c>
    </row>
    <row r="31" spans="1:19" x14ac:dyDescent="0.3">
      <c r="D31" s="17" t="s">
        <v>439</v>
      </c>
      <c r="L31" t="s">
        <v>148</v>
      </c>
      <c r="M31">
        <f>YEAR(Table1[[#This Row],[Customer_Since]])</f>
        <v>2022</v>
      </c>
    </row>
    <row r="32" spans="1:19" x14ac:dyDescent="0.3">
      <c r="D32" s="17" t="s">
        <v>434</v>
      </c>
      <c r="E32">
        <v>229192.46999999997</v>
      </c>
      <c r="L32" t="s">
        <v>151</v>
      </c>
      <c r="M32">
        <f>YEAR(Table1[[#This Row],[Customer_Since]])</f>
        <v>2021</v>
      </c>
    </row>
    <row r="33" spans="12:13" x14ac:dyDescent="0.3">
      <c r="L33" t="s">
        <v>155</v>
      </c>
      <c r="M33">
        <f>YEAR(Table1[[#This Row],[Customer_Since]])</f>
        <v>2022</v>
      </c>
    </row>
    <row r="34" spans="12:13" x14ac:dyDescent="0.3">
      <c r="L34" t="s">
        <v>159</v>
      </c>
      <c r="M34">
        <f>YEAR(Table1[[#This Row],[Customer_Since]])</f>
        <v>2023</v>
      </c>
    </row>
    <row r="35" spans="12:13" x14ac:dyDescent="0.3">
      <c r="L35" t="s">
        <v>163</v>
      </c>
      <c r="M35">
        <f>YEAR(Table1[[#This Row],[Customer_Since]])</f>
        <v>2022</v>
      </c>
    </row>
    <row r="36" spans="12:13" x14ac:dyDescent="0.3">
      <c r="L36" t="s">
        <v>172</v>
      </c>
      <c r="M36">
        <f>YEAR(Table1[[#This Row],[Customer_Since]])</f>
        <v>2022</v>
      </c>
    </row>
    <row r="37" spans="12:13" x14ac:dyDescent="0.3">
      <c r="L37" t="s">
        <v>183</v>
      </c>
      <c r="M37">
        <f>YEAR(Table1[[#This Row],[Customer_Since]])</f>
        <v>2023</v>
      </c>
    </row>
    <row r="38" spans="12:13" x14ac:dyDescent="0.3">
      <c r="L38" t="s">
        <v>186</v>
      </c>
      <c r="M38">
        <f>YEAR(Table1[[#This Row],[Customer_Since]])</f>
        <v>2024</v>
      </c>
    </row>
    <row r="39" spans="12:13" x14ac:dyDescent="0.3">
      <c r="L39" t="s">
        <v>193</v>
      </c>
      <c r="M39">
        <f>YEAR(Table1[[#This Row],[Customer_Since]])</f>
        <v>2021</v>
      </c>
    </row>
    <row r="40" spans="12:13" x14ac:dyDescent="0.3">
      <c r="L40" t="s">
        <v>197</v>
      </c>
      <c r="M40">
        <f>YEAR(Table1[[#This Row],[Customer_Since]])</f>
        <v>2023</v>
      </c>
    </row>
    <row r="41" spans="12:13" x14ac:dyDescent="0.3">
      <c r="L41" t="s">
        <v>212</v>
      </c>
      <c r="M41">
        <f>YEAR(Table1[[#This Row],[Customer_Since]])</f>
        <v>2022</v>
      </c>
    </row>
    <row r="42" spans="12:13" x14ac:dyDescent="0.3">
      <c r="L42" t="s">
        <v>227</v>
      </c>
      <c r="M42">
        <f>YEAR(Table1[[#This Row],[Customer_Since]])</f>
        <v>2024</v>
      </c>
    </row>
    <row r="43" spans="12:13" x14ac:dyDescent="0.3">
      <c r="L43" t="s">
        <v>232</v>
      </c>
      <c r="M43">
        <f>YEAR(Table1[[#This Row],[Customer_Since]])</f>
        <v>2023</v>
      </c>
    </row>
    <row r="44" spans="12:13" x14ac:dyDescent="0.3">
      <c r="L44" t="s">
        <v>235</v>
      </c>
      <c r="M44">
        <f>YEAR(Table1[[#This Row],[Customer_Since]])</f>
        <v>2022</v>
      </c>
    </row>
    <row r="45" spans="12:13" x14ac:dyDescent="0.3">
      <c r="L45" t="s">
        <v>247</v>
      </c>
      <c r="M45">
        <f>YEAR(Table1[[#This Row],[Customer_Since]])</f>
        <v>2022</v>
      </c>
    </row>
    <row r="46" spans="12:13" x14ac:dyDescent="0.3">
      <c r="L46" t="s">
        <v>253</v>
      </c>
      <c r="M46">
        <f>YEAR(Table1[[#This Row],[Customer_Since]])</f>
        <v>2022</v>
      </c>
    </row>
    <row r="47" spans="12:13" x14ac:dyDescent="0.3">
      <c r="L47" t="s">
        <v>260</v>
      </c>
      <c r="M47">
        <f>YEAR(Table1[[#This Row],[Customer_Since]])</f>
        <v>2022</v>
      </c>
    </row>
    <row r="48" spans="12:13" x14ac:dyDescent="0.3">
      <c r="L48" t="s">
        <v>294</v>
      </c>
      <c r="M48">
        <f>YEAR(Table1[[#This Row],[Customer_Since]])</f>
        <v>2021</v>
      </c>
    </row>
    <row r="49" spans="12:13" x14ac:dyDescent="0.3">
      <c r="L49" t="s">
        <v>305</v>
      </c>
      <c r="M49">
        <f>YEAR(Table1[[#This Row],[Customer_Since]])</f>
        <v>2022</v>
      </c>
    </row>
    <row r="50" spans="12:13" x14ac:dyDescent="0.3">
      <c r="L50" t="s">
        <v>326</v>
      </c>
      <c r="M50">
        <f>YEAR(Table1[[#This Row],[Customer_Since]])</f>
        <v>2021</v>
      </c>
    </row>
    <row r="51" spans="12:13" x14ac:dyDescent="0.3">
      <c r="L51" t="s">
        <v>387</v>
      </c>
      <c r="M51">
        <f>YEAR(Table1[[#This Row],[Customer_Since]])</f>
        <v>2023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1EB05-5885-44D9-988D-A8C93FE3DC87}">
  <dimension ref="A4:P254"/>
  <sheetViews>
    <sheetView topLeftCell="A2" workbookViewId="0">
      <selection activeCell="P7" sqref="P7"/>
    </sheetView>
  </sheetViews>
  <sheetFormatPr defaultRowHeight="14.4" x14ac:dyDescent="0.3"/>
  <cols>
    <col min="2" max="2" width="10.33203125" bestFit="1" customWidth="1"/>
    <col min="13" max="13" width="10.33203125" bestFit="1" customWidth="1"/>
  </cols>
  <sheetData>
    <row r="4" spans="1:16" x14ac:dyDescent="0.3">
      <c r="A4" t="s">
        <v>0</v>
      </c>
      <c r="B4" t="s">
        <v>1</v>
      </c>
      <c r="C4" t="s">
        <v>2</v>
      </c>
      <c r="D4" t="s">
        <v>3</v>
      </c>
      <c r="E4" t="s">
        <v>4</v>
      </c>
      <c r="F4" t="s">
        <v>5</v>
      </c>
      <c r="G4" t="s">
        <v>6</v>
      </c>
      <c r="H4" t="s">
        <v>7</v>
      </c>
      <c r="I4" t="s">
        <v>8</v>
      </c>
      <c r="J4" t="s">
        <v>9</v>
      </c>
      <c r="K4" t="s">
        <v>10</v>
      </c>
      <c r="L4" t="s">
        <v>11</v>
      </c>
      <c r="M4" t="s">
        <v>12</v>
      </c>
      <c r="N4" t="s">
        <v>13</v>
      </c>
    </row>
    <row r="5" spans="1:16" x14ac:dyDescent="0.3">
      <c r="A5" t="s">
        <v>14</v>
      </c>
      <c r="B5" s="3">
        <v>45393</v>
      </c>
      <c r="C5" t="s">
        <v>15</v>
      </c>
      <c r="D5" t="s">
        <v>16</v>
      </c>
      <c r="E5" t="s">
        <v>17</v>
      </c>
      <c r="F5" t="s">
        <v>18</v>
      </c>
      <c r="G5" t="s">
        <v>19</v>
      </c>
      <c r="H5">
        <v>3</v>
      </c>
      <c r="I5">
        <v>249.99</v>
      </c>
      <c r="J5" t="s">
        <v>20</v>
      </c>
      <c r="K5" t="s">
        <v>21</v>
      </c>
      <c r="L5" t="s">
        <v>22</v>
      </c>
      <c r="M5" s="3">
        <v>44425</v>
      </c>
      <c r="N5">
        <v>749.97</v>
      </c>
    </row>
    <row r="6" spans="1:16" x14ac:dyDescent="0.3">
      <c r="A6" t="s">
        <v>23</v>
      </c>
      <c r="B6" s="3">
        <v>45396</v>
      </c>
      <c r="C6" t="s">
        <v>24</v>
      </c>
      <c r="D6" t="s">
        <v>25</v>
      </c>
      <c r="E6" t="s">
        <v>17</v>
      </c>
      <c r="F6" t="s">
        <v>18</v>
      </c>
      <c r="G6" t="s">
        <v>19</v>
      </c>
      <c r="H6">
        <v>3</v>
      </c>
      <c r="I6">
        <v>249.99</v>
      </c>
      <c r="J6" t="s">
        <v>26</v>
      </c>
      <c r="K6" t="s">
        <v>21</v>
      </c>
      <c r="L6" t="s">
        <v>27</v>
      </c>
      <c r="M6" s="3">
        <v>44575</v>
      </c>
      <c r="N6">
        <v>749.97</v>
      </c>
    </row>
    <row r="7" spans="1:16" x14ac:dyDescent="0.3">
      <c r="A7" t="s">
        <v>28</v>
      </c>
      <c r="B7" s="3">
        <v>45399</v>
      </c>
      <c r="C7" t="s">
        <v>29</v>
      </c>
      <c r="D7" t="s">
        <v>30</v>
      </c>
      <c r="E7" t="s">
        <v>31</v>
      </c>
      <c r="F7" t="s">
        <v>32</v>
      </c>
      <c r="G7" t="s">
        <v>33</v>
      </c>
      <c r="H7">
        <v>3</v>
      </c>
      <c r="I7">
        <v>59.99</v>
      </c>
      <c r="J7" t="s">
        <v>34</v>
      </c>
      <c r="K7" t="s">
        <v>35</v>
      </c>
      <c r="L7" t="s">
        <v>36</v>
      </c>
      <c r="M7" s="3">
        <v>45262</v>
      </c>
      <c r="N7">
        <v>179.97</v>
      </c>
      <c r="P7" t="s">
        <v>436</v>
      </c>
    </row>
    <row r="8" spans="1:16" x14ac:dyDescent="0.3">
      <c r="A8" t="s">
        <v>37</v>
      </c>
      <c r="B8" s="3">
        <v>45400</v>
      </c>
      <c r="C8" t="s">
        <v>38</v>
      </c>
      <c r="D8" t="s">
        <v>39</v>
      </c>
      <c r="E8" t="s">
        <v>31</v>
      </c>
      <c r="F8" t="s">
        <v>32</v>
      </c>
      <c r="G8" t="s">
        <v>33</v>
      </c>
      <c r="H8">
        <v>3</v>
      </c>
      <c r="I8">
        <v>59.99</v>
      </c>
      <c r="J8" t="s">
        <v>20</v>
      </c>
      <c r="K8" t="s">
        <v>40</v>
      </c>
      <c r="L8" t="s">
        <v>27</v>
      </c>
      <c r="M8" s="3">
        <v>45114</v>
      </c>
      <c r="N8">
        <v>179.97</v>
      </c>
      <c r="P8" t="str" cm="1">
        <f t="array" ref="P8">INDEX(D5:D254, MODE(MATCH(D5:D254, D5:D254, 0)))</f>
        <v>Mark Carter</v>
      </c>
    </row>
    <row r="9" spans="1:16" x14ac:dyDescent="0.3">
      <c r="A9" t="s">
        <v>41</v>
      </c>
      <c r="B9" s="3">
        <v>45400</v>
      </c>
      <c r="C9" t="s">
        <v>42</v>
      </c>
      <c r="D9" t="s">
        <v>43</v>
      </c>
      <c r="E9" t="s">
        <v>44</v>
      </c>
      <c r="F9" t="s">
        <v>45</v>
      </c>
      <c r="G9" t="s">
        <v>46</v>
      </c>
      <c r="H9">
        <v>5</v>
      </c>
      <c r="I9">
        <v>149.99</v>
      </c>
      <c r="J9" t="s">
        <v>26</v>
      </c>
      <c r="K9" t="s">
        <v>40</v>
      </c>
      <c r="L9" t="s">
        <v>27</v>
      </c>
      <c r="M9" s="3">
        <v>45295</v>
      </c>
      <c r="N9">
        <v>749.95</v>
      </c>
    </row>
    <row r="10" spans="1:16" x14ac:dyDescent="0.3">
      <c r="A10" t="s">
        <v>47</v>
      </c>
      <c r="B10" s="3">
        <v>45403</v>
      </c>
      <c r="C10" t="s">
        <v>48</v>
      </c>
      <c r="D10" t="s">
        <v>49</v>
      </c>
      <c r="E10" t="s">
        <v>31</v>
      </c>
      <c r="F10" t="s">
        <v>32</v>
      </c>
      <c r="G10" t="s">
        <v>33</v>
      </c>
      <c r="H10">
        <v>2</v>
      </c>
      <c r="I10">
        <v>59.99</v>
      </c>
      <c r="J10" t="s">
        <v>20</v>
      </c>
      <c r="K10" t="s">
        <v>50</v>
      </c>
      <c r="L10" t="s">
        <v>36</v>
      </c>
      <c r="M10" s="3">
        <v>44746</v>
      </c>
      <c r="N10">
        <v>119.98</v>
      </c>
    </row>
    <row r="11" spans="1:16" x14ac:dyDescent="0.3">
      <c r="A11" t="s">
        <v>51</v>
      </c>
      <c r="B11" s="3">
        <v>45403</v>
      </c>
      <c r="C11" t="s">
        <v>48</v>
      </c>
      <c r="D11" t="s">
        <v>49</v>
      </c>
      <c r="E11" t="s">
        <v>52</v>
      </c>
      <c r="F11" t="s">
        <v>53</v>
      </c>
      <c r="G11" t="s">
        <v>19</v>
      </c>
      <c r="H11">
        <v>5</v>
      </c>
      <c r="I11">
        <v>149.99</v>
      </c>
      <c r="J11" t="s">
        <v>26</v>
      </c>
      <c r="K11" t="s">
        <v>21</v>
      </c>
      <c r="L11" t="s">
        <v>36</v>
      </c>
      <c r="M11" s="3">
        <v>44418</v>
      </c>
      <c r="N11">
        <v>749.95</v>
      </c>
    </row>
    <row r="12" spans="1:16" x14ac:dyDescent="0.3">
      <c r="A12" t="s">
        <v>54</v>
      </c>
      <c r="B12" s="3">
        <v>45403</v>
      </c>
      <c r="C12" t="s">
        <v>55</v>
      </c>
      <c r="D12" t="s">
        <v>56</v>
      </c>
      <c r="E12" t="s">
        <v>31</v>
      </c>
      <c r="F12" t="s">
        <v>32</v>
      </c>
      <c r="G12" t="s">
        <v>33</v>
      </c>
      <c r="H12">
        <v>3</v>
      </c>
      <c r="I12">
        <v>59.99</v>
      </c>
      <c r="J12" t="s">
        <v>57</v>
      </c>
      <c r="K12" t="s">
        <v>35</v>
      </c>
      <c r="L12" t="s">
        <v>22</v>
      </c>
      <c r="M12" s="3">
        <v>45007</v>
      </c>
      <c r="N12">
        <v>179.97</v>
      </c>
    </row>
    <row r="13" spans="1:16" x14ac:dyDescent="0.3">
      <c r="A13" t="s">
        <v>58</v>
      </c>
      <c r="B13" s="3">
        <v>45405</v>
      </c>
      <c r="C13" t="s">
        <v>59</v>
      </c>
      <c r="D13" t="s">
        <v>60</v>
      </c>
      <c r="E13" t="s">
        <v>61</v>
      </c>
      <c r="F13" t="s">
        <v>62</v>
      </c>
      <c r="G13" t="s">
        <v>19</v>
      </c>
      <c r="H13">
        <v>3</v>
      </c>
      <c r="I13">
        <v>899.99</v>
      </c>
      <c r="J13" t="s">
        <v>34</v>
      </c>
      <c r="K13" t="s">
        <v>63</v>
      </c>
      <c r="L13" t="s">
        <v>36</v>
      </c>
      <c r="M13" s="3">
        <v>45299</v>
      </c>
      <c r="N13">
        <v>2699.97</v>
      </c>
    </row>
    <row r="14" spans="1:16" x14ac:dyDescent="0.3">
      <c r="A14" t="s">
        <v>64</v>
      </c>
      <c r="B14" s="3">
        <v>45408</v>
      </c>
      <c r="C14" t="s">
        <v>65</v>
      </c>
      <c r="D14" t="s">
        <v>66</v>
      </c>
      <c r="E14" t="s">
        <v>31</v>
      </c>
      <c r="F14" t="s">
        <v>32</v>
      </c>
      <c r="G14" t="s">
        <v>33</v>
      </c>
      <c r="H14">
        <v>3</v>
      </c>
      <c r="I14">
        <v>59.99</v>
      </c>
      <c r="J14" t="s">
        <v>20</v>
      </c>
      <c r="K14" t="s">
        <v>50</v>
      </c>
      <c r="L14" t="s">
        <v>27</v>
      </c>
      <c r="M14" s="3">
        <v>45207</v>
      </c>
      <c r="N14">
        <v>179.97</v>
      </c>
    </row>
    <row r="15" spans="1:16" x14ac:dyDescent="0.3">
      <c r="A15" t="s">
        <v>67</v>
      </c>
      <c r="B15" s="3">
        <v>45408</v>
      </c>
      <c r="C15" t="s">
        <v>68</v>
      </c>
      <c r="D15" t="s">
        <v>69</v>
      </c>
      <c r="E15" t="s">
        <v>44</v>
      </c>
      <c r="F15" t="s">
        <v>45</v>
      </c>
      <c r="G15" t="s">
        <v>46</v>
      </c>
      <c r="H15">
        <v>1</v>
      </c>
      <c r="I15">
        <v>149.99</v>
      </c>
      <c r="J15" t="s">
        <v>26</v>
      </c>
      <c r="K15" t="s">
        <v>50</v>
      </c>
      <c r="L15" t="s">
        <v>36</v>
      </c>
      <c r="M15" s="3">
        <v>45103</v>
      </c>
      <c r="N15">
        <v>149.99</v>
      </c>
    </row>
    <row r="16" spans="1:16" x14ac:dyDescent="0.3">
      <c r="A16" t="s">
        <v>70</v>
      </c>
      <c r="B16" s="3">
        <v>45408</v>
      </c>
      <c r="C16" t="s">
        <v>38</v>
      </c>
      <c r="D16" t="s">
        <v>39</v>
      </c>
      <c r="E16" t="s">
        <v>44</v>
      </c>
      <c r="F16" t="s">
        <v>45</v>
      </c>
      <c r="G16" t="s">
        <v>46</v>
      </c>
      <c r="H16">
        <v>5</v>
      </c>
      <c r="I16">
        <v>149.99</v>
      </c>
      <c r="J16" t="s">
        <v>57</v>
      </c>
      <c r="K16" t="s">
        <v>40</v>
      </c>
      <c r="L16" t="s">
        <v>22</v>
      </c>
      <c r="M16" s="3">
        <v>44830</v>
      </c>
      <c r="N16">
        <v>749.95</v>
      </c>
    </row>
    <row r="17" spans="1:14" x14ac:dyDescent="0.3">
      <c r="A17" t="s">
        <v>71</v>
      </c>
      <c r="B17" s="3">
        <v>45408</v>
      </c>
      <c r="C17" t="s">
        <v>72</v>
      </c>
      <c r="D17" t="s">
        <v>73</v>
      </c>
      <c r="E17" t="s">
        <v>44</v>
      </c>
      <c r="F17" t="s">
        <v>45</v>
      </c>
      <c r="G17" t="s">
        <v>46</v>
      </c>
      <c r="H17">
        <v>3</v>
      </c>
      <c r="I17">
        <v>149.99</v>
      </c>
      <c r="J17" t="s">
        <v>20</v>
      </c>
      <c r="K17" t="s">
        <v>40</v>
      </c>
      <c r="L17" t="s">
        <v>27</v>
      </c>
      <c r="M17" s="3">
        <v>44806</v>
      </c>
      <c r="N17">
        <v>449.97</v>
      </c>
    </row>
    <row r="18" spans="1:14" x14ac:dyDescent="0.3">
      <c r="A18" t="s">
        <v>74</v>
      </c>
      <c r="B18" s="3">
        <v>45409</v>
      </c>
      <c r="C18" t="s">
        <v>75</v>
      </c>
      <c r="D18" t="s">
        <v>76</v>
      </c>
      <c r="E18" t="s">
        <v>31</v>
      </c>
      <c r="F18" t="s">
        <v>32</v>
      </c>
      <c r="G18" t="s">
        <v>33</v>
      </c>
      <c r="H18">
        <v>3</v>
      </c>
      <c r="I18">
        <v>59.99</v>
      </c>
      <c r="J18" t="s">
        <v>26</v>
      </c>
      <c r="K18" t="s">
        <v>40</v>
      </c>
      <c r="L18" t="s">
        <v>36</v>
      </c>
      <c r="M18" s="3">
        <v>45351</v>
      </c>
      <c r="N18">
        <v>179.97</v>
      </c>
    </row>
    <row r="19" spans="1:14" x14ac:dyDescent="0.3">
      <c r="A19" t="s">
        <v>77</v>
      </c>
      <c r="B19" s="3">
        <v>45409</v>
      </c>
      <c r="C19" t="s">
        <v>78</v>
      </c>
      <c r="D19" t="s">
        <v>79</v>
      </c>
      <c r="E19" t="s">
        <v>80</v>
      </c>
      <c r="F19" t="s">
        <v>81</v>
      </c>
      <c r="G19" t="s">
        <v>19</v>
      </c>
      <c r="H19">
        <v>3</v>
      </c>
      <c r="I19">
        <v>699.99</v>
      </c>
      <c r="J19" t="s">
        <v>26</v>
      </c>
      <c r="K19" t="s">
        <v>50</v>
      </c>
      <c r="L19" t="s">
        <v>22</v>
      </c>
      <c r="M19" s="3">
        <v>44577</v>
      </c>
      <c r="N19">
        <v>2099.9699999999998</v>
      </c>
    </row>
    <row r="20" spans="1:14" x14ac:dyDescent="0.3">
      <c r="A20" t="s">
        <v>82</v>
      </c>
      <c r="B20" s="3">
        <v>45409</v>
      </c>
      <c r="C20" t="s">
        <v>83</v>
      </c>
      <c r="D20" t="s">
        <v>84</v>
      </c>
      <c r="E20" t="s">
        <v>61</v>
      </c>
      <c r="F20" t="s">
        <v>62</v>
      </c>
      <c r="G20" t="s">
        <v>19</v>
      </c>
      <c r="H20">
        <v>1</v>
      </c>
      <c r="I20">
        <v>899.99</v>
      </c>
      <c r="J20" t="s">
        <v>57</v>
      </c>
      <c r="K20" t="s">
        <v>40</v>
      </c>
      <c r="L20" t="s">
        <v>36</v>
      </c>
      <c r="M20" s="3">
        <v>44920</v>
      </c>
      <c r="N20">
        <v>899.99</v>
      </c>
    </row>
    <row r="21" spans="1:14" x14ac:dyDescent="0.3">
      <c r="A21" t="s">
        <v>85</v>
      </c>
      <c r="B21" s="3">
        <v>45410</v>
      </c>
      <c r="C21" t="s">
        <v>86</v>
      </c>
      <c r="D21" t="s">
        <v>87</v>
      </c>
      <c r="E21" t="s">
        <v>44</v>
      </c>
      <c r="F21" t="s">
        <v>45</v>
      </c>
      <c r="G21" t="s">
        <v>46</v>
      </c>
      <c r="H21">
        <v>4</v>
      </c>
      <c r="I21">
        <v>149.99</v>
      </c>
      <c r="J21" t="s">
        <v>57</v>
      </c>
      <c r="K21" t="s">
        <v>40</v>
      </c>
      <c r="L21" t="s">
        <v>27</v>
      </c>
      <c r="M21" s="3">
        <v>45374</v>
      </c>
      <c r="N21">
        <v>599.96</v>
      </c>
    </row>
    <row r="22" spans="1:14" x14ac:dyDescent="0.3">
      <c r="A22" t="s">
        <v>88</v>
      </c>
      <c r="B22" s="3">
        <v>45410</v>
      </c>
      <c r="C22" t="s">
        <v>89</v>
      </c>
      <c r="D22" t="s">
        <v>90</v>
      </c>
      <c r="E22" t="s">
        <v>80</v>
      </c>
      <c r="F22" t="s">
        <v>81</v>
      </c>
      <c r="G22" t="s">
        <v>19</v>
      </c>
      <c r="H22">
        <v>2</v>
      </c>
      <c r="I22">
        <v>699.99</v>
      </c>
      <c r="J22" t="s">
        <v>20</v>
      </c>
      <c r="K22" t="s">
        <v>40</v>
      </c>
      <c r="L22" t="s">
        <v>22</v>
      </c>
      <c r="M22" s="3">
        <v>44781</v>
      </c>
      <c r="N22">
        <v>1399.98</v>
      </c>
    </row>
    <row r="23" spans="1:14" x14ac:dyDescent="0.3">
      <c r="A23" t="s">
        <v>91</v>
      </c>
      <c r="B23" s="3">
        <v>45410</v>
      </c>
      <c r="C23" t="s">
        <v>86</v>
      </c>
      <c r="D23" t="s">
        <v>87</v>
      </c>
      <c r="E23" t="s">
        <v>61</v>
      </c>
      <c r="F23" t="s">
        <v>62</v>
      </c>
      <c r="G23" t="s">
        <v>19</v>
      </c>
      <c r="H23">
        <v>4</v>
      </c>
      <c r="I23">
        <v>899.99</v>
      </c>
      <c r="J23" t="s">
        <v>26</v>
      </c>
      <c r="K23" t="s">
        <v>50</v>
      </c>
      <c r="L23" t="s">
        <v>36</v>
      </c>
      <c r="M23" s="3">
        <v>45327</v>
      </c>
      <c r="N23">
        <v>3599.96</v>
      </c>
    </row>
    <row r="24" spans="1:14" x14ac:dyDescent="0.3">
      <c r="A24" t="s">
        <v>92</v>
      </c>
      <c r="B24" s="3">
        <v>45410</v>
      </c>
      <c r="C24" t="s">
        <v>93</v>
      </c>
      <c r="D24" t="s">
        <v>94</v>
      </c>
      <c r="E24" t="s">
        <v>17</v>
      </c>
      <c r="F24" t="s">
        <v>18</v>
      </c>
      <c r="G24" t="s">
        <v>19</v>
      </c>
      <c r="H24">
        <v>3</v>
      </c>
      <c r="I24">
        <v>249.99</v>
      </c>
      <c r="J24" t="s">
        <v>26</v>
      </c>
      <c r="K24" t="s">
        <v>40</v>
      </c>
      <c r="L24" t="s">
        <v>27</v>
      </c>
      <c r="M24" s="3">
        <v>45224</v>
      </c>
      <c r="N24">
        <v>749.97</v>
      </c>
    </row>
    <row r="25" spans="1:14" x14ac:dyDescent="0.3">
      <c r="A25" t="s">
        <v>95</v>
      </c>
      <c r="B25" s="3">
        <v>45412</v>
      </c>
      <c r="C25" t="s">
        <v>96</v>
      </c>
      <c r="D25" t="s">
        <v>97</v>
      </c>
      <c r="E25" t="s">
        <v>80</v>
      </c>
      <c r="F25" t="s">
        <v>81</v>
      </c>
      <c r="G25" t="s">
        <v>19</v>
      </c>
      <c r="H25">
        <v>5</v>
      </c>
      <c r="I25">
        <v>699.99</v>
      </c>
      <c r="J25" t="s">
        <v>20</v>
      </c>
      <c r="K25" t="s">
        <v>50</v>
      </c>
      <c r="L25" t="s">
        <v>22</v>
      </c>
      <c r="M25" s="3">
        <v>45167</v>
      </c>
      <c r="N25">
        <v>3499.95</v>
      </c>
    </row>
    <row r="26" spans="1:14" x14ac:dyDescent="0.3">
      <c r="A26" t="s">
        <v>98</v>
      </c>
      <c r="B26" s="3">
        <v>45413</v>
      </c>
      <c r="C26" t="s">
        <v>99</v>
      </c>
      <c r="D26" t="s">
        <v>100</v>
      </c>
      <c r="E26" t="s">
        <v>80</v>
      </c>
      <c r="F26" t="s">
        <v>81</v>
      </c>
      <c r="G26" t="s">
        <v>19</v>
      </c>
      <c r="H26">
        <v>4</v>
      </c>
      <c r="I26">
        <v>699.99</v>
      </c>
      <c r="J26" t="s">
        <v>20</v>
      </c>
      <c r="K26" t="s">
        <v>63</v>
      </c>
      <c r="L26" t="s">
        <v>36</v>
      </c>
      <c r="M26" s="3">
        <v>44409</v>
      </c>
      <c r="N26">
        <v>2799.96</v>
      </c>
    </row>
    <row r="27" spans="1:14" x14ac:dyDescent="0.3">
      <c r="A27" t="s">
        <v>101</v>
      </c>
      <c r="B27" s="3">
        <v>45415</v>
      </c>
      <c r="C27" t="s">
        <v>102</v>
      </c>
      <c r="D27" t="s">
        <v>103</v>
      </c>
      <c r="E27" t="s">
        <v>17</v>
      </c>
      <c r="F27" t="s">
        <v>18</v>
      </c>
      <c r="G27" t="s">
        <v>19</v>
      </c>
      <c r="H27">
        <v>4</v>
      </c>
      <c r="I27">
        <v>249.99</v>
      </c>
      <c r="J27" t="s">
        <v>34</v>
      </c>
      <c r="K27" t="s">
        <v>40</v>
      </c>
      <c r="L27" t="s">
        <v>36</v>
      </c>
      <c r="M27" s="3">
        <v>44468</v>
      </c>
      <c r="N27">
        <v>999.96</v>
      </c>
    </row>
    <row r="28" spans="1:14" x14ac:dyDescent="0.3">
      <c r="A28" t="s">
        <v>104</v>
      </c>
      <c r="B28" s="3">
        <v>45416</v>
      </c>
      <c r="C28" t="s">
        <v>86</v>
      </c>
      <c r="D28" t="s">
        <v>87</v>
      </c>
      <c r="E28" t="s">
        <v>105</v>
      </c>
      <c r="F28" t="s">
        <v>106</v>
      </c>
      <c r="G28" t="s">
        <v>46</v>
      </c>
      <c r="H28">
        <v>4</v>
      </c>
      <c r="I28">
        <v>299.99</v>
      </c>
      <c r="J28" t="s">
        <v>20</v>
      </c>
      <c r="K28" t="s">
        <v>50</v>
      </c>
      <c r="L28" t="s">
        <v>27</v>
      </c>
      <c r="M28" s="3">
        <v>44716</v>
      </c>
      <c r="N28">
        <v>1199.96</v>
      </c>
    </row>
    <row r="29" spans="1:14" x14ac:dyDescent="0.3">
      <c r="A29" t="s">
        <v>107</v>
      </c>
      <c r="B29" s="3">
        <v>45422</v>
      </c>
      <c r="C29" t="s">
        <v>108</v>
      </c>
      <c r="D29" t="s">
        <v>109</v>
      </c>
      <c r="E29" t="s">
        <v>17</v>
      </c>
      <c r="F29" t="s">
        <v>18</v>
      </c>
      <c r="G29" t="s">
        <v>19</v>
      </c>
      <c r="H29">
        <v>5</v>
      </c>
      <c r="I29">
        <v>249.99</v>
      </c>
      <c r="J29" t="s">
        <v>26</v>
      </c>
      <c r="K29" t="s">
        <v>50</v>
      </c>
      <c r="L29" t="s">
        <v>36</v>
      </c>
      <c r="M29" s="3">
        <v>44525</v>
      </c>
      <c r="N29">
        <v>1249.95</v>
      </c>
    </row>
    <row r="30" spans="1:14" x14ac:dyDescent="0.3">
      <c r="A30" t="s">
        <v>110</v>
      </c>
      <c r="B30" s="3">
        <v>45424</v>
      </c>
      <c r="C30" t="s">
        <v>68</v>
      </c>
      <c r="D30" t="s">
        <v>69</v>
      </c>
      <c r="E30" t="s">
        <v>105</v>
      </c>
      <c r="F30" t="s">
        <v>106</v>
      </c>
      <c r="G30" t="s">
        <v>46</v>
      </c>
      <c r="H30">
        <v>5</v>
      </c>
      <c r="I30">
        <v>299.99</v>
      </c>
      <c r="J30" t="s">
        <v>34</v>
      </c>
      <c r="K30" t="s">
        <v>63</v>
      </c>
      <c r="L30" t="s">
        <v>22</v>
      </c>
      <c r="M30" s="3">
        <v>45168</v>
      </c>
      <c r="N30">
        <v>1499.95</v>
      </c>
    </row>
    <row r="31" spans="1:14" x14ac:dyDescent="0.3">
      <c r="A31" t="s">
        <v>111</v>
      </c>
      <c r="B31" s="3">
        <v>45424</v>
      </c>
      <c r="C31" t="s">
        <v>112</v>
      </c>
      <c r="D31" t="s">
        <v>113</v>
      </c>
      <c r="E31" t="s">
        <v>114</v>
      </c>
      <c r="F31" t="s">
        <v>115</v>
      </c>
      <c r="G31" t="s">
        <v>33</v>
      </c>
      <c r="H31">
        <v>3</v>
      </c>
      <c r="I31">
        <v>79.989999999999995</v>
      </c>
      <c r="J31" t="s">
        <v>34</v>
      </c>
      <c r="K31" t="s">
        <v>63</v>
      </c>
      <c r="L31" t="s">
        <v>27</v>
      </c>
      <c r="M31" s="3">
        <v>45012</v>
      </c>
      <c r="N31">
        <v>239.97</v>
      </c>
    </row>
    <row r="32" spans="1:14" x14ac:dyDescent="0.3">
      <c r="A32" t="s">
        <v>116</v>
      </c>
      <c r="B32" s="3">
        <v>45424</v>
      </c>
      <c r="C32" t="s">
        <v>99</v>
      </c>
      <c r="D32" t="s">
        <v>100</v>
      </c>
      <c r="E32" t="s">
        <v>117</v>
      </c>
      <c r="F32" t="s">
        <v>118</v>
      </c>
      <c r="G32" t="s">
        <v>19</v>
      </c>
      <c r="H32">
        <v>5</v>
      </c>
      <c r="I32">
        <v>89.99</v>
      </c>
      <c r="J32" t="s">
        <v>20</v>
      </c>
      <c r="K32" t="s">
        <v>40</v>
      </c>
      <c r="L32" t="s">
        <v>27</v>
      </c>
      <c r="M32" s="3">
        <v>44919</v>
      </c>
      <c r="N32">
        <v>449.95</v>
      </c>
    </row>
    <row r="33" spans="1:14" x14ac:dyDescent="0.3">
      <c r="A33" t="s">
        <v>119</v>
      </c>
      <c r="B33" s="3">
        <v>45425</v>
      </c>
      <c r="C33" t="s">
        <v>120</v>
      </c>
      <c r="D33" t="s">
        <v>121</v>
      </c>
      <c r="E33" t="s">
        <v>31</v>
      </c>
      <c r="F33" t="s">
        <v>32</v>
      </c>
      <c r="G33" t="s">
        <v>33</v>
      </c>
      <c r="H33">
        <v>2</v>
      </c>
      <c r="I33">
        <v>59.99</v>
      </c>
      <c r="J33" t="s">
        <v>57</v>
      </c>
      <c r="K33" t="s">
        <v>21</v>
      </c>
      <c r="L33" t="s">
        <v>36</v>
      </c>
      <c r="M33" s="3">
        <v>45214</v>
      </c>
      <c r="N33">
        <v>119.98</v>
      </c>
    </row>
    <row r="34" spans="1:14" x14ac:dyDescent="0.3">
      <c r="A34" t="s">
        <v>122</v>
      </c>
      <c r="B34" s="3">
        <v>45427</v>
      </c>
      <c r="C34" t="s">
        <v>123</v>
      </c>
      <c r="D34" t="s">
        <v>124</v>
      </c>
      <c r="E34" t="s">
        <v>31</v>
      </c>
      <c r="F34" t="s">
        <v>32</v>
      </c>
      <c r="G34" t="s">
        <v>33</v>
      </c>
      <c r="H34">
        <v>4</v>
      </c>
      <c r="I34">
        <v>59.99</v>
      </c>
      <c r="J34" t="s">
        <v>57</v>
      </c>
      <c r="K34" t="s">
        <v>63</v>
      </c>
      <c r="L34" t="s">
        <v>36</v>
      </c>
      <c r="M34" s="3">
        <v>44867</v>
      </c>
      <c r="N34">
        <v>239.96</v>
      </c>
    </row>
    <row r="35" spans="1:14" x14ac:dyDescent="0.3">
      <c r="A35" t="s">
        <v>125</v>
      </c>
      <c r="B35" s="3">
        <v>45427</v>
      </c>
      <c r="C35" t="s">
        <v>55</v>
      </c>
      <c r="D35" t="s">
        <v>56</v>
      </c>
      <c r="E35" t="s">
        <v>126</v>
      </c>
      <c r="F35" t="s">
        <v>127</v>
      </c>
      <c r="G35" t="s">
        <v>46</v>
      </c>
      <c r="H35">
        <v>5</v>
      </c>
      <c r="I35">
        <v>199.99</v>
      </c>
      <c r="J35" t="s">
        <v>20</v>
      </c>
      <c r="K35" t="s">
        <v>35</v>
      </c>
      <c r="L35" t="s">
        <v>36</v>
      </c>
      <c r="M35" s="3">
        <v>44412</v>
      </c>
      <c r="N35">
        <v>999.95</v>
      </c>
    </row>
    <row r="36" spans="1:14" x14ac:dyDescent="0.3">
      <c r="A36" t="s">
        <v>128</v>
      </c>
      <c r="B36" s="3">
        <v>45428</v>
      </c>
      <c r="C36" t="s">
        <v>129</v>
      </c>
      <c r="D36" t="s">
        <v>130</v>
      </c>
      <c r="E36" t="s">
        <v>44</v>
      </c>
      <c r="F36" t="s">
        <v>45</v>
      </c>
      <c r="G36" t="s">
        <v>46</v>
      </c>
      <c r="H36">
        <v>2</v>
      </c>
      <c r="I36">
        <v>149.99</v>
      </c>
      <c r="J36" t="s">
        <v>26</v>
      </c>
      <c r="K36" t="s">
        <v>50</v>
      </c>
      <c r="L36" t="s">
        <v>22</v>
      </c>
      <c r="M36" s="3">
        <v>44823</v>
      </c>
      <c r="N36">
        <v>299.98</v>
      </c>
    </row>
    <row r="37" spans="1:14" x14ac:dyDescent="0.3">
      <c r="A37" t="s">
        <v>131</v>
      </c>
      <c r="B37" s="3">
        <v>45430</v>
      </c>
      <c r="C37" t="s">
        <v>132</v>
      </c>
      <c r="D37" t="s">
        <v>133</v>
      </c>
      <c r="E37" t="s">
        <v>44</v>
      </c>
      <c r="F37" t="s">
        <v>45</v>
      </c>
      <c r="G37" t="s">
        <v>46</v>
      </c>
      <c r="H37">
        <v>3</v>
      </c>
      <c r="I37">
        <v>149.99</v>
      </c>
      <c r="J37" t="s">
        <v>26</v>
      </c>
      <c r="K37" t="s">
        <v>50</v>
      </c>
      <c r="L37" t="s">
        <v>27</v>
      </c>
      <c r="M37" s="3">
        <v>45068</v>
      </c>
      <c r="N37">
        <v>449.97</v>
      </c>
    </row>
    <row r="38" spans="1:14" x14ac:dyDescent="0.3">
      <c r="A38" t="s">
        <v>134</v>
      </c>
      <c r="B38" s="3">
        <v>45432</v>
      </c>
      <c r="C38" t="s">
        <v>29</v>
      </c>
      <c r="D38" t="s">
        <v>30</v>
      </c>
      <c r="E38" t="s">
        <v>61</v>
      </c>
      <c r="F38" t="s">
        <v>62</v>
      </c>
      <c r="G38" t="s">
        <v>19</v>
      </c>
      <c r="H38">
        <v>1</v>
      </c>
      <c r="I38">
        <v>899.99</v>
      </c>
      <c r="J38" t="s">
        <v>26</v>
      </c>
      <c r="K38" t="s">
        <v>50</v>
      </c>
      <c r="L38" t="s">
        <v>27</v>
      </c>
      <c r="M38" s="3">
        <v>44578</v>
      </c>
      <c r="N38">
        <v>899.99</v>
      </c>
    </row>
    <row r="39" spans="1:14" x14ac:dyDescent="0.3">
      <c r="A39" t="s">
        <v>135</v>
      </c>
      <c r="B39" s="3">
        <v>45434</v>
      </c>
      <c r="C39" t="s">
        <v>99</v>
      </c>
      <c r="D39" t="s">
        <v>100</v>
      </c>
      <c r="E39" t="s">
        <v>105</v>
      </c>
      <c r="F39" t="s">
        <v>106</v>
      </c>
      <c r="G39" t="s">
        <v>46</v>
      </c>
      <c r="H39">
        <v>3</v>
      </c>
      <c r="I39">
        <v>299.99</v>
      </c>
      <c r="J39" t="s">
        <v>26</v>
      </c>
      <c r="K39" t="s">
        <v>63</v>
      </c>
      <c r="L39" t="s">
        <v>22</v>
      </c>
      <c r="M39" s="3">
        <v>44824</v>
      </c>
      <c r="N39">
        <v>899.97</v>
      </c>
    </row>
    <row r="40" spans="1:14" x14ac:dyDescent="0.3">
      <c r="A40" t="s">
        <v>136</v>
      </c>
      <c r="B40" s="3">
        <v>45435</v>
      </c>
      <c r="C40" t="s">
        <v>129</v>
      </c>
      <c r="D40" t="s">
        <v>130</v>
      </c>
      <c r="E40" t="s">
        <v>114</v>
      </c>
      <c r="F40" t="s">
        <v>115</v>
      </c>
      <c r="G40" t="s">
        <v>33</v>
      </c>
      <c r="H40">
        <v>3</v>
      </c>
      <c r="I40">
        <v>79.989999999999995</v>
      </c>
      <c r="J40" t="s">
        <v>20</v>
      </c>
      <c r="K40" t="s">
        <v>35</v>
      </c>
      <c r="L40" t="s">
        <v>22</v>
      </c>
      <c r="M40" s="3">
        <v>45046</v>
      </c>
      <c r="N40">
        <v>239.97</v>
      </c>
    </row>
    <row r="41" spans="1:14" x14ac:dyDescent="0.3">
      <c r="A41" t="s">
        <v>137</v>
      </c>
      <c r="B41" s="3">
        <v>45438</v>
      </c>
      <c r="C41" t="s">
        <v>138</v>
      </c>
      <c r="D41" t="s">
        <v>139</v>
      </c>
      <c r="E41" t="s">
        <v>126</v>
      </c>
      <c r="F41" t="s">
        <v>127</v>
      </c>
      <c r="G41" t="s">
        <v>46</v>
      </c>
      <c r="H41">
        <v>3</v>
      </c>
      <c r="I41">
        <v>199.99</v>
      </c>
      <c r="J41" t="s">
        <v>26</v>
      </c>
      <c r="K41" t="s">
        <v>40</v>
      </c>
      <c r="L41" t="s">
        <v>27</v>
      </c>
      <c r="M41" s="3">
        <v>45292</v>
      </c>
      <c r="N41">
        <v>599.97</v>
      </c>
    </row>
    <row r="42" spans="1:14" x14ac:dyDescent="0.3">
      <c r="A42" t="s">
        <v>140</v>
      </c>
      <c r="B42" s="3">
        <v>45440</v>
      </c>
      <c r="C42" t="s">
        <v>141</v>
      </c>
      <c r="D42" t="s">
        <v>142</v>
      </c>
      <c r="E42" t="s">
        <v>80</v>
      </c>
      <c r="F42" t="s">
        <v>81</v>
      </c>
      <c r="G42" t="s">
        <v>19</v>
      </c>
      <c r="H42">
        <v>5</v>
      </c>
      <c r="I42">
        <v>699.99</v>
      </c>
      <c r="J42" t="s">
        <v>34</v>
      </c>
      <c r="K42" t="s">
        <v>50</v>
      </c>
      <c r="L42" t="s">
        <v>36</v>
      </c>
      <c r="M42" s="3">
        <v>44407</v>
      </c>
      <c r="N42">
        <v>3499.95</v>
      </c>
    </row>
    <row r="43" spans="1:14" x14ac:dyDescent="0.3">
      <c r="A43" t="s">
        <v>143</v>
      </c>
      <c r="B43" s="3">
        <v>45441</v>
      </c>
      <c r="C43" t="s">
        <v>144</v>
      </c>
      <c r="D43" t="s">
        <v>145</v>
      </c>
      <c r="E43" t="s">
        <v>117</v>
      </c>
      <c r="F43" t="s">
        <v>118</v>
      </c>
      <c r="G43" t="s">
        <v>19</v>
      </c>
      <c r="H43">
        <v>3</v>
      </c>
      <c r="I43">
        <v>89.99</v>
      </c>
      <c r="J43" t="s">
        <v>34</v>
      </c>
      <c r="K43" t="s">
        <v>21</v>
      </c>
      <c r="L43" t="s">
        <v>27</v>
      </c>
      <c r="M43" s="3">
        <v>45120</v>
      </c>
      <c r="N43">
        <v>269.97000000000003</v>
      </c>
    </row>
    <row r="44" spans="1:14" x14ac:dyDescent="0.3">
      <c r="A44" t="s">
        <v>146</v>
      </c>
      <c r="B44" s="3">
        <v>45443</v>
      </c>
      <c r="C44" t="s">
        <v>147</v>
      </c>
      <c r="D44" t="s">
        <v>148</v>
      </c>
      <c r="E44" t="s">
        <v>114</v>
      </c>
      <c r="F44" t="s">
        <v>115</v>
      </c>
      <c r="G44" t="s">
        <v>33</v>
      </c>
      <c r="H44">
        <v>1</v>
      </c>
      <c r="I44">
        <v>79.989999999999995</v>
      </c>
      <c r="J44" t="s">
        <v>20</v>
      </c>
      <c r="K44" t="s">
        <v>40</v>
      </c>
      <c r="L44" t="s">
        <v>36</v>
      </c>
      <c r="M44" s="3">
        <v>44917</v>
      </c>
      <c r="N44">
        <v>79.989999999999995</v>
      </c>
    </row>
    <row r="45" spans="1:14" x14ac:dyDescent="0.3">
      <c r="A45" t="s">
        <v>149</v>
      </c>
      <c r="B45" s="3">
        <v>45444</v>
      </c>
      <c r="C45" t="s">
        <v>150</v>
      </c>
      <c r="D45" t="s">
        <v>151</v>
      </c>
      <c r="E45" t="s">
        <v>31</v>
      </c>
      <c r="F45" t="s">
        <v>32</v>
      </c>
      <c r="G45" t="s">
        <v>33</v>
      </c>
      <c r="H45">
        <v>2</v>
      </c>
      <c r="I45">
        <v>59.99</v>
      </c>
      <c r="J45" t="s">
        <v>20</v>
      </c>
      <c r="K45" t="s">
        <v>50</v>
      </c>
      <c r="L45" t="s">
        <v>22</v>
      </c>
      <c r="M45" s="3">
        <v>45390</v>
      </c>
      <c r="N45">
        <v>119.98</v>
      </c>
    </row>
    <row r="46" spans="1:14" x14ac:dyDescent="0.3">
      <c r="A46" t="s">
        <v>152</v>
      </c>
      <c r="B46" s="3">
        <v>45444</v>
      </c>
      <c r="C46" t="s">
        <v>55</v>
      </c>
      <c r="D46" t="s">
        <v>56</v>
      </c>
      <c r="E46" t="s">
        <v>117</v>
      </c>
      <c r="F46" t="s">
        <v>118</v>
      </c>
      <c r="G46" t="s">
        <v>19</v>
      </c>
      <c r="H46">
        <v>1</v>
      </c>
      <c r="I46">
        <v>89.99</v>
      </c>
      <c r="J46" t="s">
        <v>20</v>
      </c>
      <c r="K46" t="s">
        <v>40</v>
      </c>
      <c r="L46" t="s">
        <v>22</v>
      </c>
      <c r="M46" s="3">
        <v>45141</v>
      </c>
      <c r="N46">
        <v>89.99</v>
      </c>
    </row>
    <row r="47" spans="1:14" x14ac:dyDescent="0.3">
      <c r="A47" t="s">
        <v>153</v>
      </c>
      <c r="B47" s="3">
        <v>45446</v>
      </c>
      <c r="C47" t="s">
        <v>154</v>
      </c>
      <c r="D47" t="s">
        <v>155</v>
      </c>
      <c r="E47" t="s">
        <v>117</v>
      </c>
      <c r="F47" t="s">
        <v>118</v>
      </c>
      <c r="G47" t="s">
        <v>19</v>
      </c>
      <c r="H47">
        <v>5</v>
      </c>
      <c r="I47">
        <v>89.99</v>
      </c>
      <c r="J47" t="s">
        <v>26</v>
      </c>
      <c r="K47" t="s">
        <v>63</v>
      </c>
      <c r="L47" t="s">
        <v>36</v>
      </c>
      <c r="M47" s="3">
        <v>44587</v>
      </c>
      <c r="N47">
        <v>449.95</v>
      </c>
    </row>
    <row r="48" spans="1:14" x14ac:dyDescent="0.3">
      <c r="A48" t="s">
        <v>156</v>
      </c>
      <c r="B48" s="3">
        <v>45449</v>
      </c>
      <c r="C48" t="s">
        <v>24</v>
      </c>
      <c r="D48" t="s">
        <v>25</v>
      </c>
      <c r="E48" t="s">
        <v>17</v>
      </c>
      <c r="F48" t="s">
        <v>18</v>
      </c>
      <c r="G48" t="s">
        <v>19</v>
      </c>
      <c r="H48">
        <v>5</v>
      </c>
      <c r="I48">
        <v>249.99</v>
      </c>
      <c r="J48" t="s">
        <v>26</v>
      </c>
      <c r="K48" t="s">
        <v>63</v>
      </c>
      <c r="L48" t="s">
        <v>36</v>
      </c>
      <c r="M48" s="3">
        <v>44707</v>
      </c>
      <c r="N48">
        <v>1249.95</v>
      </c>
    </row>
    <row r="49" spans="1:14" x14ac:dyDescent="0.3">
      <c r="A49" t="s">
        <v>157</v>
      </c>
      <c r="B49" s="3">
        <v>45449</v>
      </c>
      <c r="C49" t="s">
        <v>158</v>
      </c>
      <c r="D49" t="s">
        <v>159</v>
      </c>
      <c r="E49" t="s">
        <v>117</v>
      </c>
      <c r="F49" t="s">
        <v>118</v>
      </c>
      <c r="G49" t="s">
        <v>19</v>
      </c>
      <c r="H49">
        <v>1</v>
      </c>
      <c r="I49">
        <v>89.99</v>
      </c>
      <c r="J49" t="s">
        <v>26</v>
      </c>
      <c r="K49" t="s">
        <v>35</v>
      </c>
      <c r="L49" t="s">
        <v>36</v>
      </c>
      <c r="M49" s="3">
        <v>44582</v>
      </c>
      <c r="N49">
        <v>89.99</v>
      </c>
    </row>
    <row r="50" spans="1:14" x14ac:dyDescent="0.3">
      <c r="A50" t="s">
        <v>160</v>
      </c>
      <c r="B50" s="3">
        <v>45450</v>
      </c>
      <c r="C50" t="s">
        <v>42</v>
      </c>
      <c r="D50" t="s">
        <v>43</v>
      </c>
      <c r="E50" t="s">
        <v>44</v>
      </c>
      <c r="F50" t="s">
        <v>45</v>
      </c>
      <c r="G50" t="s">
        <v>46</v>
      </c>
      <c r="H50">
        <v>2</v>
      </c>
      <c r="I50">
        <v>149.99</v>
      </c>
      <c r="J50" t="s">
        <v>20</v>
      </c>
      <c r="K50" t="s">
        <v>63</v>
      </c>
      <c r="L50" t="s">
        <v>27</v>
      </c>
      <c r="M50" s="3">
        <v>44645</v>
      </c>
      <c r="N50">
        <v>299.98</v>
      </c>
    </row>
    <row r="51" spans="1:14" x14ac:dyDescent="0.3">
      <c r="A51" t="s">
        <v>161</v>
      </c>
      <c r="B51" s="3">
        <v>45452</v>
      </c>
      <c r="C51" t="s">
        <v>162</v>
      </c>
      <c r="D51" t="s">
        <v>163</v>
      </c>
      <c r="E51" t="s">
        <v>31</v>
      </c>
      <c r="F51" t="s">
        <v>32</v>
      </c>
      <c r="G51" t="s">
        <v>33</v>
      </c>
      <c r="H51">
        <v>4</v>
      </c>
      <c r="I51">
        <v>59.99</v>
      </c>
      <c r="J51" t="s">
        <v>20</v>
      </c>
      <c r="K51" t="s">
        <v>63</v>
      </c>
      <c r="L51" t="s">
        <v>36</v>
      </c>
      <c r="M51" s="3">
        <v>44435</v>
      </c>
      <c r="N51">
        <v>239.96</v>
      </c>
    </row>
    <row r="52" spans="1:14" x14ac:dyDescent="0.3">
      <c r="A52" t="s">
        <v>164</v>
      </c>
      <c r="B52" s="3">
        <v>45456</v>
      </c>
      <c r="C52" t="s">
        <v>129</v>
      </c>
      <c r="D52" t="s">
        <v>130</v>
      </c>
      <c r="E52" t="s">
        <v>117</v>
      </c>
      <c r="F52" t="s">
        <v>118</v>
      </c>
      <c r="G52" t="s">
        <v>19</v>
      </c>
      <c r="H52">
        <v>5</v>
      </c>
      <c r="I52">
        <v>89.99</v>
      </c>
      <c r="J52" t="s">
        <v>20</v>
      </c>
      <c r="K52" t="s">
        <v>21</v>
      </c>
      <c r="L52" t="s">
        <v>27</v>
      </c>
      <c r="M52" s="3">
        <v>44579</v>
      </c>
      <c r="N52">
        <v>449.95</v>
      </c>
    </row>
    <row r="53" spans="1:14" x14ac:dyDescent="0.3">
      <c r="A53" t="s">
        <v>165</v>
      </c>
      <c r="B53" s="3">
        <v>45459</v>
      </c>
      <c r="C53" t="s">
        <v>99</v>
      </c>
      <c r="D53" t="s">
        <v>100</v>
      </c>
      <c r="E53" t="s">
        <v>117</v>
      </c>
      <c r="F53" t="s">
        <v>118</v>
      </c>
      <c r="G53" t="s">
        <v>19</v>
      </c>
      <c r="H53">
        <v>2</v>
      </c>
      <c r="I53">
        <v>89.99</v>
      </c>
      <c r="J53" t="s">
        <v>26</v>
      </c>
      <c r="K53" t="s">
        <v>35</v>
      </c>
      <c r="L53" t="s">
        <v>27</v>
      </c>
      <c r="M53" s="3">
        <v>44471</v>
      </c>
      <c r="N53">
        <v>179.98</v>
      </c>
    </row>
    <row r="54" spans="1:14" x14ac:dyDescent="0.3">
      <c r="A54" t="s">
        <v>166</v>
      </c>
      <c r="B54" s="3">
        <v>45459</v>
      </c>
      <c r="C54" t="s">
        <v>15</v>
      </c>
      <c r="D54" t="s">
        <v>16</v>
      </c>
      <c r="E54" t="s">
        <v>61</v>
      </c>
      <c r="F54" t="s">
        <v>62</v>
      </c>
      <c r="G54" t="s">
        <v>19</v>
      </c>
      <c r="H54">
        <v>5</v>
      </c>
      <c r="I54">
        <v>899.99</v>
      </c>
      <c r="J54" t="s">
        <v>26</v>
      </c>
      <c r="K54" t="s">
        <v>35</v>
      </c>
      <c r="L54" t="s">
        <v>36</v>
      </c>
      <c r="M54" s="3">
        <v>44974</v>
      </c>
      <c r="N54">
        <v>4499.95</v>
      </c>
    </row>
    <row r="55" spans="1:14" x14ac:dyDescent="0.3">
      <c r="A55" t="s">
        <v>167</v>
      </c>
      <c r="B55" s="3">
        <v>45459</v>
      </c>
      <c r="C55" t="s">
        <v>123</v>
      </c>
      <c r="D55" t="s">
        <v>124</v>
      </c>
      <c r="E55" t="s">
        <v>61</v>
      </c>
      <c r="F55" t="s">
        <v>62</v>
      </c>
      <c r="G55" t="s">
        <v>19</v>
      </c>
      <c r="H55">
        <v>5</v>
      </c>
      <c r="I55">
        <v>899.99</v>
      </c>
      <c r="J55" t="s">
        <v>34</v>
      </c>
      <c r="K55" t="s">
        <v>63</v>
      </c>
      <c r="L55" t="s">
        <v>27</v>
      </c>
      <c r="M55" s="3">
        <v>45278</v>
      </c>
      <c r="N55">
        <v>4499.95</v>
      </c>
    </row>
    <row r="56" spans="1:14" x14ac:dyDescent="0.3">
      <c r="A56" t="s">
        <v>168</v>
      </c>
      <c r="B56" s="3">
        <v>45460</v>
      </c>
      <c r="C56" t="s">
        <v>158</v>
      </c>
      <c r="D56" t="s">
        <v>159</v>
      </c>
      <c r="E56" t="s">
        <v>31</v>
      </c>
      <c r="F56" t="s">
        <v>32</v>
      </c>
      <c r="G56" t="s">
        <v>33</v>
      </c>
      <c r="H56">
        <v>1</v>
      </c>
      <c r="I56">
        <v>59.99</v>
      </c>
      <c r="J56" t="s">
        <v>57</v>
      </c>
      <c r="K56" t="s">
        <v>50</v>
      </c>
      <c r="L56" t="s">
        <v>27</v>
      </c>
      <c r="M56" s="3">
        <v>45190</v>
      </c>
      <c r="N56">
        <v>59.99</v>
      </c>
    </row>
    <row r="57" spans="1:14" x14ac:dyDescent="0.3">
      <c r="A57" t="s">
        <v>169</v>
      </c>
      <c r="B57" s="3">
        <v>45460</v>
      </c>
      <c r="C57" t="s">
        <v>141</v>
      </c>
      <c r="D57" t="s">
        <v>142</v>
      </c>
      <c r="E57" t="s">
        <v>105</v>
      </c>
      <c r="F57" t="s">
        <v>106</v>
      </c>
      <c r="G57" t="s">
        <v>46</v>
      </c>
      <c r="H57">
        <v>2</v>
      </c>
      <c r="I57">
        <v>299.99</v>
      </c>
      <c r="J57" t="s">
        <v>57</v>
      </c>
      <c r="K57" t="s">
        <v>63</v>
      </c>
      <c r="L57" t="s">
        <v>36</v>
      </c>
      <c r="M57" s="3">
        <v>45253</v>
      </c>
      <c r="N57">
        <v>599.98</v>
      </c>
    </row>
    <row r="58" spans="1:14" x14ac:dyDescent="0.3">
      <c r="A58" t="s">
        <v>170</v>
      </c>
      <c r="B58" s="3">
        <v>45468</v>
      </c>
      <c r="C58" t="s">
        <v>171</v>
      </c>
      <c r="D58" t="s">
        <v>172</v>
      </c>
      <c r="E58" t="s">
        <v>117</v>
      </c>
      <c r="F58" t="s">
        <v>118</v>
      </c>
      <c r="G58" t="s">
        <v>19</v>
      </c>
      <c r="H58">
        <v>4</v>
      </c>
      <c r="I58">
        <v>89.99</v>
      </c>
      <c r="J58" t="s">
        <v>57</v>
      </c>
      <c r="K58" t="s">
        <v>35</v>
      </c>
      <c r="L58" t="s">
        <v>22</v>
      </c>
      <c r="M58" s="3">
        <v>45281</v>
      </c>
      <c r="N58">
        <v>359.96</v>
      </c>
    </row>
    <row r="59" spans="1:14" x14ac:dyDescent="0.3">
      <c r="A59" t="s">
        <v>173</v>
      </c>
      <c r="B59" s="3">
        <v>45469</v>
      </c>
      <c r="C59" t="s">
        <v>29</v>
      </c>
      <c r="D59" t="s">
        <v>30</v>
      </c>
      <c r="E59" t="s">
        <v>114</v>
      </c>
      <c r="F59" t="s">
        <v>115</v>
      </c>
      <c r="G59" t="s">
        <v>33</v>
      </c>
      <c r="H59">
        <v>1</v>
      </c>
      <c r="I59">
        <v>79.989999999999995</v>
      </c>
      <c r="J59" t="s">
        <v>34</v>
      </c>
      <c r="K59" t="s">
        <v>21</v>
      </c>
      <c r="L59" t="s">
        <v>27</v>
      </c>
      <c r="M59" s="3">
        <v>45352</v>
      </c>
      <c r="N59">
        <v>79.989999999999995</v>
      </c>
    </row>
    <row r="60" spans="1:14" x14ac:dyDescent="0.3">
      <c r="A60" t="s">
        <v>174</v>
      </c>
      <c r="B60" s="3">
        <v>45469</v>
      </c>
      <c r="C60" t="s">
        <v>59</v>
      </c>
      <c r="D60" t="s">
        <v>60</v>
      </c>
      <c r="E60" t="s">
        <v>117</v>
      </c>
      <c r="F60" t="s">
        <v>118</v>
      </c>
      <c r="G60" t="s">
        <v>19</v>
      </c>
      <c r="H60">
        <v>2</v>
      </c>
      <c r="I60">
        <v>89.99</v>
      </c>
      <c r="J60" t="s">
        <v>20</v>
      </c>
      <c r="K60" t="s">
        <v>50</v>
      </c>
      <c r="L60" t="s">
        <v>22</v>
      </c>
      <c r="M60" s="3">
        <v>44438</v>
      </c>
      <c r="N60">
        <v>179.98</v>
      </c>
    </row>
    <row r="61" spans="1:14" x14ac:dyDescent="0.3">
      <c r="A61" t="s">
        <v>175</v>
      </c>
      <c r="B61" s="3">
        <v>45471</v>
      </c>
      <c r="C61" t="s">
        <v>38</v>
      </c>
      <c r="D61" t="s">
        <v>39</v>
      </c>
      <c r="E61" t="s">
        <v>80</v>
      </c>
      <c r="F61" t="s">
        <v>81</v>
      </c>
      <c r="G61" t="s">
        <v>19</v>
      </c>
      <c r="H61">
        <v>3</v>
      </c>
      <c r="I61">
        <v>699.99</v>
      </c>
      <c r="J61" t="s">
        <v>26</v>
      </c>
      <c r="K61" t="s">
        <v>63</v>
      </c>
      <c r="L61" t="s">
        <v>27</v>
      </c>
      <c r="M61" s="3">
        <v>45102</v>
      </c>
      <c r="N61">
        <v>2099.9699999999998</v>
      </c>
    </row>
    <row r="62" spans="1:14" x14ac:dyDescent="0.3">
      <c r="A62" t="s">
        <v>176</v>
      </c>
      <c r="B62" s="3">
        <v>45471</v>
      </c>
      <c r="C62" t="s">
        <v>99</v>
      </c>
      <c r="D62" t="s">
        <v>100</v>
      </c>
      <c r="E62" t="s">
        <v>61</v>
      </c>
      <c r="F62" t="s">
        <v>62</v>
      </c>
      <c r="G62" t="s">
        <v>19</v>
      </c>
      <c r="H62">
        <v>4</v>
      </c>
      <c r="I62">
        <v>899.99</v>
      </c>
      <c r="J62" t="s">
        <v>26</v>
      </c>
      <c r="K62" t="s">
        <v>63</v>
      </c>
      <c r="L62" t="s">
        <v>27</v>
      </c>
      <c r="M62" s="3">
        <v>44993</v>
      </c>
      <c r="N62">
        <v>3599.96</v>
      </c>
    </row>
    <row r="63" spans="1:14" x14ac:dyDescent="0.3">
      <c r="A63" t="s">
        <v>177</v>
      </c>
      <c r="B63" s="3">
        <v>45472</v>
      </c>
      <c r="C63" t="s">
        <v>120</v>
      </c>
      <c r="D63" t="s">
        <v>121</v>
      </c>
      <c r="E63" t="s">
        <v>44</v>
      </c>
      <c r="F63" t="s">
        <v>45</v>
      </c>
      <c r="G63" t="s">
        <v>46</v>
      </c>
      <c r="H63">
        <v>1</v>
      </c>
      <c r="I63">
        <v>149.99</v>
      </c>
      <c r="J63" t="s">
        <v>34</v>
      </c>
      <c r="K63" t="s">
        <v>63</v>
      </c>
      <c r="L63" t="s">
        <v>22</v>
      </c>
      <c r="M63" s="3">
        <v>44851</v>
      </c>
      <c r="N63">
        <v>149.99</v>
      </c>
    </row>
    <row r="64" spans="1:14" x14ac:dyDescent="0.3">
      <c r="A64" t="s">
        <v>178</v>
      </c>
      <c r="B64" s="3">
        <v>45474</v>
      </c>
      <c r="C64" t="s">
        <v>132</v>
      </c>
      <c r="D64" t="s">
        <v>133</v>
      </c>
      <c r="E64" t="s">
        <v>117</v>
      </c>
      <c r="F64" t="s">
        <v>118</v>
      </c>
      <c r="G64" t="s">
        <v>19</v>
      </c>
      <c r="H64">
        <v>2</v>
      </c>
      <c r="I64">
        <v>89.99</v>
      </c>
      <c r="J64" t="s">
        <v>34</v>
      </c>
      <c r="K64" t="s">
        <v>21</v>
      </c>
      <c r="L64" t="s">
        <v>27</v>
      </c>
      <c r="M64" s="3">
        <v>45275</v>
      </c>
      <c r="N64">
        <v>179.98</v>
      </c>
    </row>
    <row r="65" spans="1:14" x14ac:dyDescent="0.3">
      <c r="A65" t="s">
        <v>179</v>
      </c>
      <c r="B65" s="3">
        <v>45475</v>
      </c>
      <c r="C65" t="s">
        <v>55</v>
      </c>
      <c r="D65" t="s">
        <v>56</v>
      </c>
      <c r="E65" t="s">
        <v>117</v>
      </c>
      <c r="F65" t="s">
        <v>118</v>
      </c>
      <c r="G65" t="s">
        <v>19</v>
      </c>
      <c r="H65">
        <v>1</v>
      </c>
      <c r="I65">
        <v>89.99</v>
      </c>
      <c r="J65" t="s">
        <v>34</v>
      </c>
      <c r="K65" t="s">
        <v>50</v>
      </c>
      <c r="L65" t="s">
        <v>36</v>
      </c>
      <c r="M65" s="3">
        <v>44802</v>
      </c>
      <c r="N65">
        <v>89.99</v>
      </c>
    </row>
    <row r="66" spans="1:14" x14ac:dyDescent="0.3">
      <c r="A66" t="s">
        <v>180</v>
      </c>
      <c r="B66" s="3">
        <v>45476</v>
      </c>
      <c r="C66" t="s">
        <v>68</v>
      </c>
      <c r="D66" t="s">
        <v>69</v>
      </c>
      <c r="E66" t="s">
        <v>117</v>
      </c>
      <c r="F66" t="s">
        <v>118</v>
      </c>
      <c r="G66" t="s">
        <v>19</v>
      </c>
      <c r="H66">
        <v>1</v>
      </c>
      <c r="I66">
        <v>89.99</v>
      </c>
      <c r="J66" t="s">
        <v>20</v>
      </c>
      <c r="K66" t="s">
        <v>35</v>
      </c>
      <c r="L66" t="s">
        <v>36</v>
      </c>
      <c r="M66" s="3">
        <v>44611</v>
      </c>
      <c r="N66">
        <v>89.99</v>
      </c>
    </row>
    <row r="67" spans="1:14" x14ac:dyDescent="0.3">
      <c r="A67" t="s">
        <v>181</v>
      </c>
      <c r="B67" s="3">
        <v>45476</v>
      </c>
      <c r="C67" t="s">
        <v>182</v>
      </c>
      <c r="D67" t="s">
        <v>183</v>
      </c>
      <c r="E67" t="s">
        <v>114</v>
      </c>
      <c r="F67" t="s">
        <v>115</v>
      </c>
      <c r="G67" t="s">
        <v>33</v>
      </c>
      <c r="H67">
        <v>5</v>
      </c>
      <c r="I67">
        <v>79.989999999999995</v>
      </c>
      <c r="J67" t="s">
        <v>57</v>
      </c>
      <c r="K67" t="s">
        <v>21</v>
      </c>
      <c r="L67" t="s">
        <v>22</v>
      </c>
      <c r="M67" s="3">
        <v>44981</v>
      </c>
      <c r="N67">
        <v>399.95</v>
      </c>
    </row>
    <row r="68" spans="1:14" x14ac:dyDescent="0.3">
      <c r="A68" t="s">
        <v>184</v>
      </c>
      <c r="B68" s="3">
        <v>45481</v>
      </c>
      <c r="C68" t="s">
        <v>185</v>
      </c>
      <c r="D68" t="s">
        <v>186</v>
      </c>
      <c r="E68" t="s">
        <v>44</v>
      </c>
      <c r="F68" t="s">
        <v>45</v>
      </c>
      <c r="G68" t="s">
        <v>46</v>
      </c>
      <c r="H68">
        <v>1</v>
      </c>
      <c r="I68">
        <v>149.99</v>
      </c>
      <c r="J68" t="s">
        <v>34</v>
      </c>
      <c r="K68" t="s">
        <v>40</v>
      </c>
      <c r="L68" t="s">
        <v>22</v>
      </c>
      <c r="M68" s="3">
        <v>44421</v>
      </c>
      <c r="N68">
        <v>149.99</v>
      </c>
    </row>
    <row r="69" spans="1:14" x14ac:dyDescent="0.3">
      <c r="A69" t="s">
        <v>187</v>
      </c>
      <c r="B69" s="3">
        <v>45481</v>
      </c>
      <c r="C69" t="s">
        <v>42</v>
      </c>
      <c r="D69" t="s">
        <v>43</v>
      </c>
      <c r="E69" t="s">
        <v>80</v>
      </c>
      <c r="F69" t="s">
        <v>81</v>
      </c>
      <c r="G69" t="s">
        <v>19</v>
      </c>
      <c r="H69">
        <v>2</v>
      </c>
      <c r="I69">
        <v>699.99</v>
      </c>
      <c r="J69" t="s">
        <v>34</v>
      </c>
      <c r="K69" t="s">
        <v>63</v>
      </c>
      <c r="L69" t="s">
        <v>27</v>
      </c>
      <c r="M69" s="3">
        <v>45389</v>
      </c>
      <c r="N69">
        <v>1399.98</v>
      </c>
    </row>
    <row r="70" spans="1:14" x14ac:dyDescent="0.3">
      <c r="A70" t="s">
        <v>188</v>
      </c>
      <c r="B70" s="3">
        <v>45481</v>
      </c>
      <c r="C70" t="s">
        <v>96</v>
      </c>
      <c r="D70" t="s">
        <v>97</v>
      </c>
      <c r="E70" t="s">
        <v>117</v>
      </c>
      <c r="F70" t="s">
        <v>118</v>
      </c>
      <c r="G70" t="s">
        <v>19</v>
      </c>
      <c r="H70">
        <v>5</v>
      </c>
      <c r="I70">
        <v>89.99</v>
      </c>
      <c r="J70" t="s">
        <v>57</v>
      </c>
      <c r="K70" t="s">
        <v>40</v>
      </c>
      <c r="L70" t="s">
        <v>27</v>
      </c>
      <c r="M70" s="3">
        <v>45161</v>
      </c>
      <c r="N70">
        <v>449.95</v>
      </c>
    </row>
    <row r="71" spans="1:14" x14ac:dyDescent="0.3">
      <c r="A71" t="s">
        <v>189</v>
      </c>
      <c r="B71" s="3">
        <v>45482</v>
      </c>
      <c r="C71" t="s">
        <v>171</v>
      </c>
      <c r="D71" t="s">
        <v>172</v>
      </c>
      <c r="E71" t="s">
        <v>31</v>
      </c>
      <c r="F71" t="s">
        <v>32</v>
      </c>
      <c r="G71" t="s">
        <v>33</v>
      </c>
      <c r="H71">
        <v>4</v>
      </c>
      <c r="I71">
        <v>59.99</v>
      </c>
      <c r="J71" t="s">
        <v>20</v>
      </c>
      <c r="K71" t="s">
        <v>35</v>
      </c>
      <c r="L71" t="s">
        <v>36</v>
      </c>
      <c r="M71" s="3">
        <v>44509</v>
      </c>
      <c r="N71">
        <v>239.96</v>
      </c>
    </row>
    <row r="72" spans="1:14" x14ac:dyDescent="0.3">
      <c r="A72" t="s">
        <v>190</v>
      </c>
      <c r="B72" s="3">
        <v>45484</v>
      </c>
      <c r="C72" t="s">
        <v>24</v>
      </c>
      <c r="D72" t="s">
        <v>25</v>
      </c>
      <c r="E72" t="s">
        <v>52</v>
      </c>
      <c r="F72" t="s">
        <v>53</v>
      </c>
      <c r="G72" t="s">
        <v>19</v>
      </c>
      <c r="H72">
        <v>1</v>
      </c>
      <c r="I72">
        <v>149.99</v>
      </c>
      <c r="J72" t="s">
        <v>20</v>
      </c>
      <c r="K72" t="s">
        <v>21</v>
      </c>
      <c r="L72" t="s">
        <v>36</v>
      </c>
      <c r="M72" s="3">
        <v>44909</v>
      </c>
      <c r="N72">
        <v>149.99</v>
      </c>
    </row>
    <row r="73" spans="1:14" x14ac:dyDescent="0.3">
      <c r="A73" t="s">
        <v>191</v>
      </c>
      <c r="B73" s="3">
        <v>45484</v>
      </c>
      <c r="C73" t="s">
        <v>192</v>
      </c>
      <c r="D73" t="s">
        <v>193</v>
      </c>
      <c r="E73" t="s">
        <v>105</v>
      </c>
      <c r="F73" t="s">
        <v>106</v>
      </c>
      <c r="G73" t="s">
        <v>46</v>
      </c>
      <c r="H73">
        <v>1</v>
      </c>
      <c r="I73">
        <v>299.99</v>
      </c>
      <c r="J73" t="s">
        <v>26</v>
      </c>
      <c r="K73" t="s">
        <v>40</v>
      </c>
      <c r="L73" t="s">
        <v>27</v>
      </c>
      <c r="M73" s="3">
        <v>44891</v>
      </c>
      <c r="N73">
        <v>299.99</v>
      </c>
    </row>
    <row r="74" spans="1:14" x14ac:dyDescent="0.3">
      <c r="A74" t="s">
        <v>194</v>
      </c>
      <c r="B74" s="3">
        <v>45487</v>
      </c>
      <c r="C74" t="s">
        <v>192</v>
      </c>
      <c r="D74" t="s">
        <v>193</v>
      </c>
      <c r="E74" t="s">
        <v>126</v>
      </c>
      <c r="F74" t="s">
        <v>127</v>
      </c>
      <c r="G74" t="s">
        <v>46</v>
      </c>
      <c r="H74">
        <v>2</v>
      </c>
      <c r="I74">
        <v>199.99</v>
      </c>
      <c r="J74" t="s">
        <v>20</v>
      </c>
      <c r="K74" t="s">
        <v>40</v>
      </c>
      <c r="L74" t="s">
        <v>22</v>
      </c>
      <c r="M74" s="3">
        <v>44541</v>
      </c>
      <c r="N74">
        <v>399.98</v>
      </c>
    </row>
    <row r="75" spans="1:14" x14ac:dyDescent="0.3">
      <c r="A75" t="s">
        <v>195</v>
      </c>
      <c r="B75" s="3">
        <v>45490</v>
      </c>
      <c r="C75" t="s">
        <v>196</v>
      </c>
      <c r="D75" t="s">
        <v>197</v>
      </c>
      <c r="E75" t="s">
        <v>31</v>
      </c>
      <c r="F75" t="s">
        <v>32</v>
      </c>
      <c r="G75" t="s">
        <v>33</v>
      </c>
      <c r="H75">
        <v>3</v>
      </c>
      <c r="I75">
        <v>59.99</v>
      </c>
      <c r="J75" t="s">
        <v>26</v>
      </c>
      <c r="K75" t="s">
        <v>50</v>
      </c>
      <c r="L75" t="s">
        <v>22</v>
      </c>
      <c r="M75" s="3">
        <v>45130</v>
      </c>
      <c r="N75">
        <v>179.97</v>
      </c>
    </row>
    <row r="76" spans="1:14" x14ac:dyDescent="0.3">
      <c r="A76" t="s">
        <v>198</v>
      </c>
      <c r="B76" s="3">
        <v>45490</v>
      </c>
      <c r="C76" t="s">
        <v>72</v>
      </c>
      <c r="D76" t="s">
        <v>73</v>
      </c>
      <c r="E76" t="s">
        <v>44</v>
      </c>
      <c r="F76" t="s">
        <v>45</v>
      </c>
      <c r="G76" t="s">
        <v>46</v>
      </c>
      <c r="H76">
        <v>3</v>
      </c>
      <c r="I76">
        <v>149.99</v>
      </c>
      <c r="J76" t="s">
        <v>20</v>
      </c>
      <c r="K76" t="s">
        <v>21</v>
      </c>
      <c r="L76" t="s">
        <v>27</v>
      </c>
      <c r="M76" s="3">
        <v>45199</v>
      </c>
      <c r="N76">
        <v>449.97</v>
      </c>
    </row>
    <row r="77" spans="1:14" x14ac:dyDescent="0.3">
      <c r="A77" t="s">
        <v>199</v>
      </c>
      <c r="B77" s="3">
        <v>45491</v>
      </c>
      <c r="C77" t="s">
        <v>65</v>
      </c>
      <c r="D77" t="s">
        <v>66</v>
      </c>
      <c r="E77" t="s">
        <v>126</v>
      </c>
      <c r="F77" t="s">
        <v>127</v>
      </c>
      <c r="G77" t="s">
        <v>46</v>
      </c>
      <c r="H77">
        <v>3</v>
      </c>
      <c r="I77">
        <v>199.99</v>
      </c>
      <c r="J77" t="s">
        <v>20</v>
      </c>
      <c r="K77" t="s">
        <v>40</v>
      </c>
      <c r="L77" t="s">
        <v>27</v>
      </c>
      <c r="M77" s="3">
        <v>45254</v>
      </c>
      <c r="N77">
        <v>599.97</v>
      </c>
    </row>
    <row r="78" spans="1:14" x14ac:dyDescent="0.3">
      <c r="A78" t="s">
        <v>200</v>
      </c>
      <c r="B78" s="3">
        <v>45496</v>
      </c>
      <c r="C78" t="s">
        <v>150</v>
      </c>
      <c r="D78" t="s">
        <v>151</v>
      </c>
      <c r="E78" t="s">
        <v>61</v>
      </c>
      <c r="F78" t="s">
        <v>62</v>
      </c>
      <c r="G78" t="s">
        <v>19</v>
      </c>
      <c r="H78">
        <v>1</v>
      </c>
      <c r="I78">
        <v>899.99</v>
      </c>
      <c r="J78" t="s">
        <v>20</v>
      </c>
      <c r="K78" t="s">
        <v>21</v>
      </c>
      <c r="L78" t="s">
        <v>36</v>
      </c>
      <c r="M78" s="3">
        <v>45179</v>
      </c>
      <c r="N78">
        <v>899.99</v>
      </c>
    </row>
    <row r="79" spans="1:14" x14ac:dyDescent="0.3">
      <c r="A79" t="s">
        <v>201</v>
      </c>
      <c r="B79" s="3">
        <v>45497</v>
      </c>
      <c r="C79" t="s">
        <v>24</v>
      </c>
      <c r="D79" t="s">
        <v>25</v>
      </c>
      <c r="E79" t="s">
        <v>61</v>
      </c>
      <c r="F79" t="s">
        <v>62</v>
      </c>
      <c r="G79" t="s">
        <v>19</v>
      </c>
      <c r="H79">
        <v>5</v>
      </c>
      <c r="I79">
        <v>899.99</v>
      </c>
      <c r="J79" t="s">
        <v>57</v>
      </c>
      <c r="K79" t="s">
        <v>35</v>
      </c>
      <c r="L79" t="s">
        <v>36</v>
      </c>
      <c r="M79" s="3">
        <v>44899</v>
      </c>
      <c r="N79">
        <v>4499.95</v>
      </c>
    </row>
    <row r="80" spans="1:14" x14ac:dyDescent="0.3">
      <c r="A80" t="s">
        <v>202</v>
      </c>
      <c r="B80" s="3">
        <v>45498</v>
      </c>
      <c r="C80" t="s">
        <v>182</v>
      </c>
      <c r="D80" t="s">
        <v>183</v>
      </c>
      <c r="E80" t="s">
        <v>31</v>
      </c>
      <c r="F80" t="s">
        <v>32</v>
      </c>
      <c r="G80" t="s">
        <v>33</v>
      </c>
      <c r="H80">
        <v>2</v>
      </c>
      <c r="I80">
        <v>59.99</v>
      </c>
      <c r="J80" t="s">
        <v>20</v>
      </c>
      <c r="K80" t="s">
        <v>40</v>
      </c>
      <c r="L80" t="s">
        <v>36</v>
      </c>
      <c r="M80" s="3">
        <v>45152</v>
      </c>
      <c r="N80">
        <v>119.98</v>
      </c>
    </row>
    <row r="81" spans="1:14" x14ac:dyDescent="0.3">
      <c r="A81" t="s">
        <v>203</v>
      </c>
      <c r="B81" s="3">
        <v>45498</v>
      </c>
      <c r="C81" t="s">
        <v>196</v>
      </c>
      <c r="D81" t="s">
        <v>197</v>
      </c>
      <c r="E81" t="s">
        <v>17</v>
      </c>
      <c r="F81" t="s">
        <v>18</v>
      </c>
      <c r="G81" t="s">
        <v>19</v>
      </c>
      <c r="H81">
        <v>4</v>
      </c>
      <c r="I81">
        <v>249.99</v>
      </c>
      <c r="J81" t="s">
        <v>57</v>
      </c>
      <c r="K81" t="s">
        <v>21</v>
      </c>
      <c r="L81" t="s">
        <v>36</v>
      </c>
      <c r="M81" s="3">
        <v>45127</v>
      </c>
      <c r="N81">
        <v>999.96</v>
      </c>
    </row>
    <row r="82" spans="1:14" x14ac:dyDescent="0.3">
      <c r="A82" t="s">
        <v>204</v>
      </c>
      <c r="B82" s="3">
        <v>45500</v>
      </c>
      <c r="C82" t="s">
        <v>96</v>
      </c>
      <c r="D82" t="s">
        <v>97</v>
      </c>
      <c r="E82" t="s">
        <v>17</v>
      </c>
      <c r="F82" t="s">
        <v>18</v>
      </c>
      <c r="G82" t="s">
        <v>19</v>
      </c>
      <c r="H82">
        <v>2</v>
      </c>
      <c r="I82">
        <v>249.99</v>
      </c>
      <c r="J82" t="s">
        <v>20</v>
      </c>
      <c r="K82" t="s">
        <v>40</v>
      </c>
      <c r="L82" t="s">
        <v>27</v>
      </c>
      <c r="M82" s="3">
        <v>45164</v>
      </c>
      <c r="N82">
        <v>499.98</v>
      </c>
    </row>
    <row r="83" spans="1:14" x14ac:dyDescent="0.3">
      <c r="A83" t="s">
        <v>205</v>
      </c>
      <c r="B83" s="3">
        <v>45500</v>
      </c>
      <c r="C83" t="s">
        <v>147</v>
      </c>
      <c r="D83" t="s">
        <v>148</v>
      </c>
      <c r="E83" t="s">
        <v>105</v>
      </c>
      <c r="F83" t="s">
        <v>106</v>
      </c>
      <c r="G83" t="s">
        <v>46</v>
      </c>
      <c r="H83">
        <v>1</v>
      </c>
      <c r="I83">
        <v>299.99</v>
      </c>
      <c r="J83" t="s">
        <v>20</v>
      </c>
      <c r="K83" t="s">
        <v>35</v>
      </c>
      <c r="L83" t="s">
        <v>22</v>
      </c>
      <c r="M83" s="3">
        <v>44982</v>
      </c>
      <c r="N83">
        <v>299.99</v>
      </c>
    </row>
    <row r="84" spans="1:14" x14ac:dyDescent="0.3">
      <c r="A84" t="s">
        <v>206</v>
      </c>
      <c r="B84" s="3">
        <v>45501</v>
      </c>
      <c r="C84" t="s">
        <v>86</v>
      </c>
      <c r="D84" t="s">
        <v>87</v>
      </c>
      <c r="E84" t="s">
        <v>117</v>
      </c>
      <c r="F84" t="s">
        <v>118</v>
      </c>
      <c r="G84" t="s">
        <v>19</v>
      </c>
      <c r="H84">
        <v>2</v>
      </c>
      <c r="I84">
        <v>89.99</v>
      </c>
      <c r="J84" t="s">
        <v>34</v>
      </c>
      <c r="K84" t="s">
        <v>35</v>
      </c>
      <c r="L84" t="s">
        <v>22</v>
      </c>
      <c r="M84" s="3">
        <v>44976</v>
      </c>
      <c r="N84">
        <v>179.98</v>
      </c>
    </row>
    <row r="85" spans="1:14" x14ac:dyDescent="0.3">
      <c r="A85" t="s">
        <v>207</v>
      </c>
      <c r="B85" s="3">
        <v>45501</v>
      </c>
      <c r="C85" t="s">
        <v>147</v>
      </c>
      <c r="D85" t="s">
        <v>148</v>
      </c>
      <c r="E85" t="s">
        <v>105</v>
      </c>
      <c r="F85" t="s">
        <v>106</v>
      </c>
      <c r="G85" t="s">
        <v>46</v>
      </c>
      <c r="H85">
        <v>3</v>
      </c>
      <c r="I85">
        <v>299.99</v>
      </c>
      <c r="J85" t="s">
        <v>20</v>
      </c>
      <c r="K85" t="s">
        <v>21</v>
      </c>
      <c r="L85" t="s">
        <v>22</v>
      </c>
      <c r="M85" s="3">
        <v>44732</v>
      </c>
      <c r="N85">
        <v>899.97</v>
      </c>
    </row>
    <row r="86" spans="1:14" x14ac:dyDescent="0.3">
      <c r="A86" t="s">
        <v>208</v>
      </c>
      <c r="B86" s="3">
        <v>45503</v>
      </c>
      <c r="C86" t="s">
        <v>86</v>
      </c>
      <c r="D86" t="s">
        <v>87</v>
      </c>
      <c r="E86" t="s">
        <v>80</v>
      </c>
      <c r="F86" t="s">
        <v>81</v>
      </c>
      <c r="G86" t="s">
        <v>19</v>
      </c>
      <c r="H86">
        <v>2</v>
      </c>
      <c r="I86">
        <v>699.99</v>
      </c>
      <c r="J86" t="s">
        <v>26</v>
      </c>
      <c r="K86" t="s">
        <v>40</v>
      </c>
      <c r="L86" t="s">
        <v>27</v>
      </c>
      <c r="M86" s="3">
        <v>44999</v>
      </c>
      <c r="N86">
        <v>1399.98</v>
      </c>
    </row>
    <row r="87" spans="1:14" x14ac:dyDescent="0.3">
      <c r="A87" t="s">
        <v>209</v>
      </c>
      <c r="B87" s="3">
        <v>45504</v>
      </c>
      <c r="C87" t="s">
        <v>120</v>
      </c>
      <c r="D87" t="s">
        <v>121</v>
      </c>
      <c r="E87" t="s">
        <v>61</v>
      </c>
      <c r="F87" t="s">
        <v>62</v>
      </c>
      <c r="G87" t="s">
        <v>19</v>
      </c>
      <c r="H87">
        <v>4</v>
      </c>
      <c r="I87">
        <v>899.99</v>
      </c>
      <c r="J87" t="s">
        <v>57</v>
      </c>
      <c r="K87" t="s">
        <v>35</v>
      </c>
      <c r="L87" t="s">
        <v>36</v>
      </c>
      <c r="M87" s="3">
        <v>44523</v>
      </c>
      <c r="N87">
        <v>3599.96</v>
      </c>
    </row>
    <row r="88" spans="1:14" x14ac:dyDescent="0.3">
      <c r="A88" t="s">
        <v>210</v>
      </c>
      <c r="B88" s="3">
        <v>45509</v>
      </c>
      <c r="C88" t="s">
        <v>211</v>
      </c>
      <c r="D88" t="s">
        <v>212</v>
      </c>
      <c r="E88" t="s">
        <v>44</v>
      </c>
      <c r="F88" t="s">
        <v>45</v>
      </c>
      <c r="G88" t="s">
        <v>46</v>
      </c>
      <c r="H88">
        <v>2</v>
      </c>
      <c r="I88">
        <v>149.99</v>
      </c>
      <c r="J88" t="s">
        <v>26</v>
      </c>
      <c r="K88" t="s">
        <v>50</v>
      </c>
      <c r="L88" t="s">
        <v>22</v>
      </c>
      <c r="M88" s="3">
        <v>44542</v>
      </c>
      <c r="N88">
        <v>299.98</v>
      </c>
    </row>
    <row r="89" spans="1:14" x14ac:dyDescent="0.3">
      <c r="A89" t="s">
        <v>213</v>
      </c>
      <c r="B89" s="3">
        <v>45510</v>
      </c>
      <c r="C89" t="s">
        <v>102</v>
      </c>
      <c r="D89" t="s">
        <v>103</v>
      </c>
      <c r="E89" t="s">
        <v>44</v>
      </c>
      <c r="F89" t="s">
        <v>45</v>
      </c>
      <c r="G89" t="s">
        <v>46</v>
      </c>
      <c r="H89">
        <v>2</v>
      </c>
      <c r="I89">
        <v>149.99</v>
      </c>
      <c r="J89" t="s">
        <v>57</v>
      </c>
      <c r="K89" t="s">
        <v>63</v>
      </c>
      <c r="L89" t="s">
        <v>36</v>
      </c>
      <c r="M89" s="3">
        <v>44667</v>
      </c>
      <c r="N89">
        <v>299.98</v>
      </c>
    </row>
    <row r="90" spans="1:14" x14ac:dyDescent="0.3">
      <c r="A90" t="s">
        <v>214</v>
      </c>
      <c r="B90" s="3">
        <v>45513</v>
      </c>
      <c r="C90" t="s">
        <v>89</v>
      </c>
      <c r="D90" t="s">
        <v>90</v>
      </c>
      <c r="E90" t="s">
        <v>117</v>
      </c>
      <c r="F90" t="s">
        <v>118</v>
      </c>
      <c r="G90" t="s">
        <v>19</v>
      </c>
      <c r="H90">
        <v>1</v>
      </c>
      <c r="I90">
        <v>89.99</v>
      </c>
      <c r="J90" t="s">
        <v>26</v>
      </c>
      <c r="K90" t="s">
        <v>40</v>
      </c>
      <c r="L90" t="s">
        <v>36</v>
      </c>
      <c r="M90" s="3">
        <v>45393</v>
      </c>
      <c r="N90">
        <v>89.99</v>
      </c>
    </row>
    <row r="91" spans="1:14" x14ac:dyDescent="0.3">
      <c r="A91" t="s">
        <v>215</v>
      </c>
      <c r="B91" s="3">
        <v>45515</v>
      </c>
      <c r="C91" t="s">
        <v>86</v>
      </c>
      <c r="D91" t="s">
        <v>87</v>
      </c>
      <c r="E91" t="s">
        <v>105</v>
      </c>
      <c r="F91" t="s">
        <v>106</v>
      </c>
      <c r="G91" t="s">
        <v>46</v>
      </c>
      <c r="H91">
        <v>5</v>
      </c>
      <c r="I91">
        <v>299.99</v>
      </c>
      <c r="J91" t="s">
        <v>26</v>
      </c>
      <c r="K91" t="s">
        <v>40</v>
      </c>
      <c r="L91" t="s">
        <v>22</v>
      </c>
      <c r="M91" s="3">
        <v>44965</v>
      </c>
      <c r="N91">
        <v>1499.95</v>
      </c>
    </row>
    <row r="92" spans="1:14" x14ac:dyDescent="0.3">
      <c r="A92" t="s">
        <v>216</v>
      </c>
      <c r="B92" s="3">
        <v>45517</v>
      </c>
      <c r="C92" t="s">
        <v>182</v>
      </c>
      <c r="D92" t="s">
        <v>183</v>
      </c>
      <c r="E92" t="s">
        <v>52</v>
      </c>
      <c r="F92" t="s">
        <v>53</v>
      </c>
      <c r="G92" t="s">
        <v>19</v>
      </c>
      <c r="H92">
        <v>4</v>
      </c>
      <c r="I92">
        <v>149.99</v>
      </c>
      <c r="J92" t="s">
        <v>57</v>
      </c>
      <c r="K92" t="s">
        <v>35</v>
      </c>
      <c r="L92" t="s">
        <v>27</v>
      </c>
      <c r="M92" s="3">
        <v>44820</v>
      </c>
      <c r="N92">
        <v>599.96</v>
      </c>
    </row>
    <row r="93" spans="1:14" x14ac:dyDescent="0.3">
      <c r="A93" t="s">
        <v>217</v>
      </c>
      <c r="B93" s="3">
        <v>45517</v>
      </c>
      <c r="C93" t="s">
        <v>185</v>
      </c>
      <c r="D93" t="s">
        <v>186</v>
      </c>
      <c r="E93" t="s">
        <v>17</v>
      </c>
      <c r="F93" t="s">
        <v>18</v>
      </c>
      <c r="G93" t="s">
        <v>19</v>
      </c>
      <c r="H93">
        <v>5</v>
      </c>
      <c r="I93">
        <v>249.99</v>
      </c>
      <c r="J93" t="s">
        <v>34</v>
      </c>
      <c r="K93" t="s">
        <v>63</v>
      </c>
      <c r="L93" t="s">
        <v>27</v>
      </c>
      <c r="M93" s="3">
        <v>44782</v>
      </c>
      <c r="N93">
        <v>1249.95</v>
      </c>
    </row>
    <row r="94" spans="1:14" x14ac:dyDescent="0.3">
      <c r="A94" t="s">
        <v>218</v>
      </c>
      <c r="B94" s="3">
        <v>45517</v>
      </c>
      <c r="C94" t="s">
        <v>65</v>
      </c>
      <c r="D94" t="s">
        <v>66</v>
      </c>
      <c r="E94" t="s">
        <v>17</v>
      </c>
      <c r="F94" t="s">
        <v>18</v>
      </c>
      <c r="G94" t="s">
        <v>19</v>
      </c>
      <c r="H94">
        <v>3</v>
      </c>
      <c r="I94">
        <v>249.99</v>
      </c>
      <c r="J94" t="s">
        <v>34</v>
      </c>
      <c r="K94" t="s">
        <v>40</v>
      </c>
      <c r="L94" t="s">
        <v>27</v>
      </c>
      <c r="M94" s="3">
        <v>44465</v>
      </c>
      <c r="N94">
        <v>749.97</v>
      </c>
    </row>
    <row r="95" spans="1:14" x14ac:dyDescent="0.3">
      <c r="A95" t="s">
        <v>219</v>
      </c>
      <c r="B95" s="3">
        <v>45517</v>
      </c>
      <c r="C95" t="s">
        <v>38</v>
      </c>
      <c r="D95" t="s">
        <v>39</v>
      </c>
      <c r="E95" t="s">
        <v>126</v>
      </c>
      <c r="F95" t="s">
        <v>127</v>
      </c>
      <c r="G95" t="s">
        <v>46</v>
      </c>
      <c r="H95">
        <v>4</v>
      </c>
      <c r="I95">
        <v>199.99</v>
      </c>
      <c r="J95" t="s">
        <v>20</v>
      </c>
      <c r="K95" t="s">
        <v>40</v>
      </c>
      <c r="L95" t="s">
        <v>36</v>
      </c>
      <c r="M95" s="3">
        <v>44458</v>
      </c>
      <c r="N95">
        <v>799.96</v>
      </c>
    </row>
    <row r="96" spans="1:14" x14ac:dyDescent="0.3">
      <c r="A96" t="s">
        <v>220</v>
      </c>
      <c r="B96" s="3">
        <v>45519</v>
      </c>
      <c r="C96" t="s">
        <v>158</v>
      </c>
      <c r="D96" t="s">
        <v>159</v>
      </c>
      <c r="E96" t="s">
        <v>126</v>
      </c>
      <c r="F96" t="s">
        <v>127</v>
      </c>
      <c r="G96" t="s">
        <v>46</v>
      </c>
      <c r="H96">
        <v>5</v>
      </c>
      <c r="I96">
        <v>199.99</v>
      </c>
      <c r="J96" t="s">
        <v>20</v>
      </c>
      <c r="K96" t="s">
        <v>40</v>
      </c>
      <c r="L96" t="s">
        <v>27</v>
      </c>
      <c r="M96" s="3">
        <v>44991</v>
      </c>
      <c r="N96">
        <v>999.95</v>
      </c>
    </row>
    <row r="97" spans="1:14" x14ac:dyDescent="0.3">
      <c r="A97" t="s">
        <v>221</v>
      </c>
      <c r="B97" s="3">
        <v>45522</v>
      </c>
      <c r="C97" t="s">
        <v>86</v>
      </c>
      <c r="D97" t="s">
        <v>87</v>
      </c>
      <c r="E97" t="s">
        <v>117</v>
      </c>
      <c r="F97" t="s">
        <v>118</v>
      </c>
      <c r="G97" t="s">
        <v>19</v>
      </c>
      <c r="H97">
        <v>2</v>
      </c>
      <c r="I97">
        <v>89.99</v>
      </c>
      <c r="J97" t="s">
        <v>20</v>
      </c>
      <c r="K97" t="s">
        <v>63</v>
      </c>
      <c r="L97" t="s">
        <v>27</v>
      </c>
      <c r="M97" s="3">
        <v>44972</v>
      </c>
      <c r="N97">
        <v>179.98</v>
      </c>
    </row>
    <row r="98" spans="1:14" x14ac:dyDescent="0.3">
      <c r="A98" t="s">
        <v>222</v>
      </c>
      <c r="B98" s="3">
        <v>45523</v>
      </c>
      <c r="C98" t="s">
        <v>196</v>
      </c>
      <c r="D98" t="s">
        <v>197</v>
      </c>
      <c r="E98" t="s">
        <v>61</v>
      </c>
      <c r="F98" t="s">
        <v>62</v>
      </c>
      <c r="G98" t="s">
        <v>19</v>
      </c>
      <c r="H98">
        <v>5</v>
      </c>
      <c r="I98">
        <v>899.99</v>
      </c>
      <c r="J98" t="s">
        <v>57</v>
      </c>
      <c r="K98" t="s">
        <v>63</v>
      </c>
      <c r="L98" t="s">
        <v>22</v>
      </c>
      <c r="M98" s="3">
        <v>44526</v>
      </c>
      <c r="N98">
        <v>4499.95</v>
      </c>
    </row>
    <row r="99" spans="1:14" x14ac:dyDescent="0.3">
      <c r="A99" t="s">
        <v>223</v>
      </c>
      <c r="B99" s="3">
        <v>45523</v>
      </c>
      <c r="C99" t="s">
        <v>108</v>
      </c>
      <c r="D99" t="s">
        <v>109</v>
      </c>
      <c r="E99" t="s">
        <v>52</v>
      </c>
      <c r="F99" t="s">
        <v>53</v>
      </c>
      <c r="G99" t="s">
        <v>19</v>
      </c>
      <c r="H99">
        <v>3</v>
      </c>
      <c r="I99">
        <v>149.99</v>
      </c>
      <c r="J99" t="s">
        <v>34</v>
      </c>
      <c r="K99" t="s">
        <v>63</v>
      </c>
      <c r="L99" t="s">
        <v>22</v>
      </c>
      <c r="M99" s="3">
        <v>44574</v>
      </c>
      <c r="N99">
        <v>449.97</v>
      </c>
    </row>
    <row r="100" spans="1:14" x14ac:dyDescent="0.3">
      <c r="A100" t="s">
        <v>224</v>
      </c>
      <c r="B100" s="3">
        <v>45526</v>
      </c>
      <c r="C100" t="s">
        <v>102</v>
      </c>
      <c r="D100" t="s">
        <v>103</v>
      </c>
      <c r="E100" t="s">
        <v>44</v>
      </c>
      <c r="F100" t="s">
        <v>45</v>
      </c>
      <c r="G100" t="s">
        <v>46</v>
      </c>
      <c r="H100">
        <v>5</v>
      </c>
      <c r="I100">
        <v>149.99</v>
      </c>
      <c r="J100" t="s">
        <v>26</v>
      </c>
      <c r="K100" t="s">
        <v>21</v>
      </c>
      <c r="L100" t="s">
        <v>22</v>
      </c>
      <c r="M100" s="3">
        <v>45310</v>
      </c>
      <c r="N100">
        <v>749.95</v>
      </c>
    </row>
    <row r="101" spans="1:14" x14ac:dyDescent="0.3">
      <c r="A101" t="s">
        <v>225</v>
      </c>
      <c r="B101" s="3">
        <v>45528</v>
      </c>
      <c r="C101" t="s">
        <v>226</v>
      </c>
      <c r="D101" t="s">
        <v>227</v>
      </c>
      <c r="E101" t="s">
        <v>114</v>
      </c>
      <c r="F101" t="s">
        <v>115</v>
      </c>
      <c r="G101" t="s">
        <v>33</v>
      </c>
      <c r="H101">
        <v>3</v>
      </c>
      <c r="I101">
        <v>79.989999999999995</v>
      </c>
      <c r="J101" t="s">
        <v>20</v>
      </c>
      <c r="K101" t="s">
        <v>21</v>
      </c>
      <c r="L101" t="s">
        <v>27</v>
      </c>
      <c r="M101" s="3">
        <v>44779</v>
      </c>
      <c r="N101">
        <v>239.97</v>
      </c>
    </row>
    <row r="102" spans="1:14" x14ac:dyDescent="0.3">
      <c r="A102" t="s">
        <v>228</v>
      </c>
      <c r="B102" s="3">
        <v>45528</v>
      </c>
      <c r="C102" t="s">
        <v>144</v>
      </c>
      <c r="D102" t="s">
        <v>145</v>
      </c>
      <c r="E102" t="s">
        <v>17</v>
      </c>
      <c r="F102" t="s">
        <v>18</v>
      </c>
      <c r="G102" t="s">
        <v>19</v>
      </c>
      <c r="H102">
        <v>2</v>
      </c>
      <c r="I102">
        <v>249.99</v>
      </c>
      <c r="J102" t="s">
        <v>20</v>
      </c>
      <c r="K102" t="s">
        <v>35</v>
      </c>
      <c r="L102" t="s">
        <v>36</v>
      </c>
      <c r="M102" s="3">
        <v>44572</v>
      </c>
      <c r="N102">
        <v>499.98</v>
      </c>
    </row>
    <row r="103" spans="1:14" x14ac:dyDescent="0.3">
      <c r="A103" t="s">
        <v>229</v>
      </c>
      <c r="B103" s="3">
        <v>45532</v>
      </c>
      <c r="C103" t="s">
        <v>196</v>
      </c>
      <c r="D103" t="s">
        <v>197</v>
      </c>
      <c r="E103" t="s">
        <v>80</v>
      </c>
      <c r="F103" t="s">
        <v>81</v>
      </c>
      <c r="G103" t="s">
        <v>19</v>
      </c>
      <c r="H103">
        <v>1</v>
      </c>
      <c r="I103">
        <v>699.99</v>
      </c>
      <c r="J103" t="s">
        <v>20</v>
      </c>
      <c r="K103" t="s">
        <v>21</v>
      </c>
      <c r="L103" t="s">
        <v>27</v>
      </c>
      <c r="M103" s="3">
        <v>44497</v>
      </c>
      <c r="N103">
        <v>699.99</v>
      </c>
    </row>
    <row r="104" spans="1:14" x14ac:dyDescent="0.3">
      <c r="A104" t="s">
        <v>230</v>
      </c>
      <c r="B104" s="3">
        <v>45532</v>
      </c>
      <c r="C104" t="s">
        <v>231</v>
      </c>
      <c r="D104" t="s">
        <v>232</v>
      </c>
      <c r="E104" t="s">
        <v>52</v>
      </c>
      <c r="F104" t="s">
        <v>53</v>
      </c>
      <c r="G104" t="s">
        <v>19</v>
      </c>
      <c r="H104">
        <v>3</v>
      </c>
      <c r="I104">
        <v>149.99</v>
      </c>
      <c r="J104" t="s">
        <v>20</v>
      </c>
      <c r="K104" t="s">
        <v>50</v>
      </c>
      <c r="L104" t="s">
        <v>27</v>
      </c>
      <c r="M104" s="3">
        <v>45212</v>
      </c>
      <c r="N104">
        <v>449.97</v>
      </c>
    </row>
    <row r="105" spans="1:14" x14ac:dyDescent="0.3">
      <c r="A105" t="s">
        <v>233</v>
      </c>
      <c r="B105" s="3">
        <v>45534</v>
      </c>
      <c r="C105" t="s">
        <v>234</v>
      </c>
      <c r="D105" t="s">
        <v>235</v>
      </c>
      <c r="E105" t="s">
        <v>80</v>
      </c>
      <c r="F105" t="s">
        <v>81</v>
      </c>
      <c r="G105" t="s">
        <v>19</v>
      </c>
      <c r="H105">
        <v>2</v>
      </c>
      <c r="I105">
        <v>699.99</v>
      </c>
      <c r="J105" t="s">
        <v>26</v>
      </c>
      <c r="K105" t="s">
        <v>40</v>
      </c>
      <c r="L105" t="s">
        <v>27</v>
      </c>
      <c r="M105" s="3">
        <v>44421</v>
      </c>
      <c r="N105">
        <v>1399.98</v>
      </c>
    </row>
    <row r="106" spans="1:14" x14ac:dyDescent="0.3">
      <c r="A106" t="s">
        <v>236</v>
      </c>
      <c r="B106" s="3">
        <v>45537</v>
      </c>
      <c r="C106" t="s">
        <v>231</v>
      </c>
      <c r="D106" t="s">
        <v>232</v>
      </c>
      <c r="E106" t="s">
        <v>17</v>
      </c>
      <c r="F106" t="s">
        <v>18</v>
      </c>
      <c r="G106" t="s">
        <v>19</v>
      </c>
      <c r="H106">
        <v>1</v>
      </c>
      <c r="I106">
        <v>249.99</v>
      </c>
      <c r="J106" t="s">
        <v>26</v>
      </c>
      <c r="K106" t="s">
        <v>50</v>
      </c>
      <c r="L106" t="s">
        <v>27</v>
      </c>
      <c r="M106" s="3">
        <v>44685</v>
      </c>
      <c r="N106">
        <v>249.99</v>
      </c>
    </row>
    <row r="107" spans="1:14" x14ac:dyDescent="0.3">
      <c r="A107" t="s">
        <v>237</v>
      </c>
      <c r="B107" s="3">
        <v>45537</v>
      </c>
      <c r="C107" t="s">
        <v>15</v>
      </c>
      <c r="D107" t="s">
        <v>16</v>
      </c>
      <c r="E107" t="s">
        <v>17</v>
      </c>
      <c r="F107" t="s">
        <v>18</v>
      </c>
      <c r="G107" t="s">
        <v>19</v>
      </c>
      <c r="H107">
        <v>1</v>
      </c>
      <c r="I107">
        <v>249.99</v>
      </c>
      <c r="J107" t="s">
        <v>57</v>
      </c>
      <c r="K107" t="s">
        <v>40</v>
      </c>
      <c r="L107" t="s">
        <v>27</v>
      </c>
      <c r="M107" s="3">
        <v>45332</v>
      </c>
      <c r="N107">
        <v>249.99</v>
      </c>
    </row>
    <row r="108" spans="1:14" x14ac:dyDescent="0.3">
      <c r="A108" t="s">
        <v>238</v>
      </c>
      <c r="B108" s="3">
        <v>45538</v>
      </c>
      <c r="C108" t="s">
        <v>226</v>
      </c>
      <c r="D108" t="s">
        <v>227</v>
      </c>
      <c r="E108" t="s">
        <v>80</v>
      </c>
      <c r="F108" t="s">
        <v>81</v>
      </c>
      <c r="G108" t="s">
        <v>19</v>
      </c>
      <c r="H108">
        <v>2</v>
      </c>
      <c r="I108">
        <v>699.99</v>
      </c>
      <c r="J108" t="s">
        <v>57</v>
      </c>
      <c r="K108" t="s">
        <v>21</v>
      </c>
      <c r="L108" t="s">
        <v>27</v>
      </c>
      <c r="M108" s="3">
        <v>44870</v>
      </c>
      <c r="N108">
        <v>1399.98</v>
      </c>
    </row>
    <row r="109" spans="1:14" x14ac:dyDescent="0.3">
      <c r="A109" t="s">
        <v>239</v>
      </c>
      <c r="B109" s="3">
        <v>45541</v>
      </c>
      <c r="C109" t="s">
        <v>138</v>
      </c>
      <c r="D109" t="s">
        <v>139</v>
      </c>
      <c r="E109" t="s">
        <v>31</v>
      </c>
      <c r="F109" t="s">
        <v>32</v>
      </c>
      <c r="G109" t="s">
        <v>33</v>
      </c>
      <c r="H109">
        <v>3</v>
      </c>
      <c r="I109">
        <v>59.99</v>
      </c>
      <c r="J109" t="s">
        <v>26</v>
      </c>
      <c r="K109" t="s">
        <v>21</v>
      </c>
      <c r="L109" t="s">
        <v>27</v>
      </c>
      <c r="M109" s="3">
        <v>44717</v>
      </c>
      <c r="N109">
        <v>179.97</v>
      </c>
    </row>
    <row r="110" spans="1:14" x14ac:dyDescent="0.3">
      <c r="A110" t="s">
        <v>240</v>
      </c>
      <c r="B110" s="3">
        <v>45544</v>
      </c>
      <c r="C110" t="s">
        <v>132</v>
      </c>
      <c r="D110" t="s">
        <v>133</v>
      </c>
      <c r="E110" t="s">
        <v>31</v>
      </c>
      <c r="F110" t="s">
        <v>32</v>
      </c>
      <c r="G110" t="s">
        <v>33</v>
      </c>
      <c r="H110">
        <v>3</v>
      </c>
      <c r="I110">
        <v>59.99</v>
      </c>
      <c r="J110" t="s">
        <v>34</v>
      </c>
      <c r="K110" t="s">
        <v>63</v>
      </c>
      <c r="L110" t="s">
        <v>36</v>
      </c>
      <c r="M110" s="3">
        <v>44748</v>
      </c>
      <c r="N110">
        <v>179.97</v>
      </c>
    </row>
    <row r="111" spans="1:14" x14ac:dyDescent="0.3">
      <c r="A111" t="s">
        <v>241</v>
      </c>
      <c r="B111" s="3">
        <v>45544</v>
      </c>
      <c r="C111" t="s">
        <v>141</v>
      </c>
      <c r="D111" t="s">
        <v>142</v>
      </c>
      <c r="E111" t="s">
        <v>114</v>
      </c>
      <c r="F111" t="s">
        <v>115</v>
      </c>
      <c r="G111" t="s">
        <v>33</v>
      </c>
      <c r="H111">
        <v>4</v>
      </c>
      <c r="I111">
        <v>79.989999999999995</v>
      </c>
      <c r="J111" t="s">
        <v>20</v>
      </c>
      <c r="K111" t="s">
        <v>40</v>
      </c>
      <c r="L111" t="s">
        <v>22</v>
      </c>
      <c r="M111" s="3">
        <v>44530</v>
      </c>
      <c r="N111">
        <v>319.95999999999998</v>
      </c>
    </row>
    <row r="112" spans="1:14" x14ac:dyDescent="0.3">
      <c r="A112" t="s">
        <v>242</v>
      </c>
      <c r="B112" s="3">
        <v>45545</v>
      </c>
      <c r="C112" t="s">
        <v>55</v>
      </c>
      <c r="D112" t="s">
        <v>56</v>
      </c>
      <c r="E112" t="s">
        <v>114</v>
      </c>
      <c r="F112" t="s">
        <v>115</v>
      </c>
      <c r="G112" t="s">
        <v>33</v>
      </c>
      <c r="H112">
        <v>1</v>
      </c>
      <c r="I112">
        <v>79.989999999999995</v>
      </c>
      <c r="J112" t="s">
        <v>20</v>
      </c>
      <c r="K112" t="s">
        <v>50</v>
      </c>
      <c r="L112" t="s">
        <v>22</v>
      </c>
      <c r="M112" s="3">
        <v>44693</v>
      </c>
      <c r="N112">
        <v>79.989999999999995</v>
      </c>
    </row>
    <row r="113" spans="1:14" x14ac:dyDescent="0.3">
      <c r="A113" t="s">
        <v>243</v>
      </c>
      <c r="B113" s="3">
        <v>45547</v>
      </c>
      <c r="C113" t="s">
        <v>48</v>
      </c>
      <c r="D113" t="s">
        <v>49</v>
      </c>
      <c r="E113" t="s">
        <v>105</v>
      </c>
      <c r="F113" t="s">
        <v>106</v>
      </c>
      <c r="G113" t="s">
        <v>46</v>
      </c>
      <c r="H113">
        <v>3</v>
      </c>
      <c r="I113">
        <v>299.99</v>
      </c>
      <c r="J113" t="s">
        <v>26</v>
      </c>
      <c r="K113" t="s">
        <v>21</v>
      </c>
      <c r="L113" t="s">
        <v>27</v>
      </c>
      <c r="M113" s="3">
        <v>44494</v>
      </c>
      <c r="N113">
        <v>899.97</v>
      </c>
    </row>
    <row r="114" spans="1:14" x14ac:dyDescent="0.3">
      <c r="A114" t="s">
        <v>244</v>
      </c>
      <c r="B114" s="3">
        <v>45548</v>
      </c>
      <c r="C114" t="s">
        <v>38</v>
      </c>
      <c r="D114" t="s">
        <v>39</v>
      </c>
      <c r="E114" t="s">
        <v>117</v>
      </c>
      <c r="F114" t="s">
        <v>118</v>
      </c>
      <c r="G114" t="s">
        <v>19</v>
      </c>
      <c r="H114">
        <v>2</v>
      </c>
      <c r="I114">
        <v>89.99</v>
      </c>
      <c r="J114" t="s">
        <v>26</v>
      </c>
      <c r="K114" t="s">
        <v>35</v>
      </c>
      <c r="L114" t="s">
        <v>27</v>
      </c>
      <c r="M114" s="3">
        <v>44641</v>
      </c>
      <c r="N114">
        <v>179.98</v>
      </c>
    </row>
    <row r="115" spans="1:14" x14ac:dyDescent="0.3">
      <c r="A115" t="s">
        <v>245</v>
      </c>
      <c r="B115" s="3">
        <v>45550</v>
      </c>
      <c r="C115" t="s">
        <v>246</v>
      </c>
      <c r="D115" t="s">
        <v>247</v>
      </c>
      <c r="E115" t="s">
        <v>52</v>
      </c>
      <c r="F115" t="s">
        <v>53</v>
      </c>
      <c r="G115" t="s">
        <v>19</v>
      </c>
      <c r="H115">
        <v>4</v>
      </c>
      <c r="I115">
        <v>149.99</v>
      </c>
      <c r="J115" t="s">
        <v>20</v>
      </c>
      <c r="K115" t="s">
        <v>40</v>
      </c>
      <c r="L115" t="s">
        <v>22</v>
      </c>
      <c r="M115" s="3">
        <v>44909</v>
      </c>
      <c r="N115">
        <v>599.96</v>
      </c>
    </row>
    <row r="116" spans="1:14" x14ac:dyDescent="0.3">
      <c r="A116" t="s">
        <v>248</v>
      </c>
      <c r="B116" s="3">
        <v>45551</v>
      </c>
      <c r="C116" t="s">
        <v>65</v>
      </c>
      <c r="D116" t="s">
        <v>66</v>
      </c>
      <c r="E116" t="s">
        <v>17</v>
      </c>
      <c r="F116" t="s">
        <v>18</v>
      </c>
      <c r="G116" t="s">
        <v>19</v>
      </c>
      <c r="H116">
        <v>2</v>
      </c>
      <c r="I116">
        <v>249.99</v>
      </c>
      <c r="J116" t="s">
        <v>34</v>
      </c>
      <c r="K116" t="s">
        <v>35</v>
      </c>
      <c r="L116" t="s">
        <v>22</v>
      </c>
      <c r="M116" s="3">
        <v>44993</v>
      </c>
      <c r="N116">
        <v>499.98</v>
      </c>
    </row>
    <row r="117" spans="1:14" x14ac:dyDescent="0.3">
      <c r="A117" t="s">
        <v>249</v>
      </c>
      <c r="B117" s="3">
        <v>45551</v>
      </c>
      <c r="C117" t="s">
        <v>154</v>
      </c>
      <c r="D117" t="s">
        <v>155</v>
      </c>
      <c r="E117" t="s">
        <v>126</v>
      </c>
      <c r="F117" t="s">
        <v>127</v>
      </c>
      <c r="G117" t="s">
        <v>46</v>
      </c>
      <c r="H117">
        <v>4</v>
      </c>
      <c r="I117">
        <v>199.99</v>
      </c>
      <c r="J117" t="s">
        <v>57</v>
      </c>
      <c r="K117" t="s">
        <v>63</v>
      </c>
      <c r="L117" t="s">
        <v>22</v>
      </c>
      <c r="M117" s="3">
        <v>44458</v>
      </c>
      <c r="N117">
        <v>799.96</v>
      </c>
    </row>
    <row r="118" spans="1:14" x14ac:dyDescent="0.3">
      <c r="A118" t="s">
        <v>250</v>
      </c>
      <c r="B118" s="3">
        <v>45554</v>
      </c>
      <c r="C118" t="s">
        <v>147</v>
      </c>
      <c r="D118" t="s">
        <v>148</v>
      </c>
      <c r="E118" t="s">
        <v>117</v>
      </c>
      <c r="F118" t="s">
        <v>118</v>
      </c>
      <c r="G118" t="s">
        <v>19</v>
      </c>
      <c r="H118">
        <v>5</v>
      </c>
      <c r="I118">
        <v>89.99</v>
      </c>
      <c r="J118" t="s">
        <v>26</v>
      </c>
      <c r="K118" t="s">
        <v>63</v>
      </c>
      <c r="L118" t="s">
        <v>27</v>
      </c>
      <c r="M118" s="3">
        <v>44446</v>
      </c>
      <c r="N118">
        <v>449.95</v>
      </c>
    </row>
    <row r="119" spans="1:14" x14ac:dyDescent="0.3">
      <c r="A119" t="s">
        <v>251</v>
      </c>
      <c r="B119" s="3">
        <v>45554</v>
      </c>
      <c r="C119" t="s">
        <v>252</v>
      </c>
      <c r="D119" t="s">
        <v>253</v>
      </c>
      <c r="E119" t="s">
        <v>52</v>
      </c>
      <c r="F119" t="s">
        <v>53</v>
      </c>
      <c r="G119" t="s">
        <v>19</v>
      </c>
      <c r="H119">
        <v>1</v>
      </c>
      <c r="I119">
        <v>149.99</v>
      </c>
      <c r="J119" t="s">
        <v>34</v>
      </c>
      <c r="K119" t="s">
        <v>63</v>
      </c>
      <c r="L119" t="s">
        <v>36</v>
      </c>
      <c r="M119" s="3">
        <v>44482</v>
      </c>
      <c r="N119">
        <v>149.99</v>
      </c>
    </row>
    <row r="120" spans="1:14" x14ac:dyDescent="0.3">
      <c r="A120" t="s">
        <v>254</v>
      </c>
      <c r="B120" s="3">
        <v>45554</v>
      </c>
      <c r="C120" t="s">
        <v>72</v>
      </c>
      <c r="D120" t="s">
        <v>73</v>
      </c>
      <c r="E120" t="s">
        <v>80</v>
      </c>
      <c r="F120" t="s">
        <v>81</v>
      </c>
      <c r="G120" t="s">
        <v>19</v>
      </c>
      <c r="H120">
        <v>4</v>
      </c>
      <c r="I120">
        <v>699.99</v>
      </c>
      <c r="J120" t="s">
        <v>34</v>
      </c>
      <c r="K120" t="s">
        <v>35</v>
      </c>
      <c r="L120" t="s">
        <v>22</v>
      </c>
      <c r="M120" s="3">
        <v>44618</v>
      </c>
      <c r="N120">
        <v>2799.96</v>
      </c>
    </row>
    <row r="121" spans="1:14" x14ac:dyDescent="0.3">
      <c r="A121" t="s">
        <v>255</v>
      </c>
      <c r="B121" s="3">
        <v>45559</v>
      </c>
      <c r="C121" t="s">
        <v>234</v>
      </c>
      <c r="D121" t="s">
        <v>235</v>
      </c>
      <c r="E121" t="s">
        <v>61</v>
      </c>
      <c r="F121" t="s">
        <v>62</v>
      </c>
      <c r="G121" t="s">
        <v>19</v>
      </c>
      <c r="H121">
        <v>3</v>
      </c>
      <c r="I121">
        <v>899.99</v>
      </c>
      <c r="J121" t="s">
        <v>26</v>
      </c>
      <c r="K121" t="s">
        <v>40</v>
      </c>
      <c r="L121" t="s">
        <v>36</v>
      </c>
      <c r="M121" s="3">
        <v>45157</v>
      </c>
      <c r="N121">
        <v>2699.97</v>
      </c>
    </row>
    <row r="122" spans="1:14" x14ac:dyDescent="0.3">
      <c r="A122" t="s">
        <v>256</v>
      </c>
      <c r="B122" s="3">
        <v>45560</v>
      </c>
      <c r="C122" t="s">
        <v>112</v>
      </c>
      <c r="D122" t="s">
        <v>113</v>
      </c>
      <c r="E122" t="s">
        <v>44</v>
      </c>
      <c r="F122" t="s">
        <v>45</v>
      </c>
      <c r="G122" t="s">
        <v>46</v>
      </c>
      <c r="H122">
        <v>3</v>
      </c>
      <c r="I122">
        <v>149.99</v>
      </c>
      <c r="J122" t="s">
        <v>34</v>
      </c>
      <c r="K122" t="s">
        <v>63</v>
      </c>
      <c r="L122" t="s">
        <v>22</v>
      </c>
      <c r="M122" s="3">
        <v>44886</v>
      </c>
      <c r="N122">
        <v>449.97</v>
      </c>
    </row>
    <row r="123" spans="1:14" x14ac:dyDescent="0.3">
      <c r="A123" t="s">
        <v>257</v>
      </c>
      <c r="B123" s="3">
        <v>45563</v>
      </c>
      <c r="C123" t="s">
        <v>99</v>
      </c>
      <c r="D123" t="s">
        <v>100</v>
      </c>
      <c r="E123" t="s">
        <v>105</v>
      </c>
      <c r="F123" t="s">
        <v>106</v>
      </c>
      <c r="G123" t="s">
        <v>46</v>
      </c>
      <c r="H123">
        <v>2</v>
      </c>
      <c r="I123">
        <v>299.99</v>
      </c>
      <c r="J123" t="s">
        <v>57</v>
      </c>
      <c r="K123" t="s">
        <v>21</v>
      </c>
      <c r="L123" t="s">
        <v>22</v>
      </c>
      <c r="M123" s="3">
        <v>44569</v>
      </c>
      <c r="N123">
        <v>599.98</v>
      </c>
    </row>
    <row r="124" spans="1:14" x14ac:dyDescent="0.3">
      <c r="A124" t="s">
        <v>258</v>
      </c>
      <c r="B124" s="3">
        <v>45564</v>
      </c>
      <c r="C124" t="s">
        <v>259</v>
      </c>
      <c r="D124" t="s">
        <v>260</v>
      </c>
      <c r="E124" t="s">
        <v>126</v>
      </c>
      <c r="F124" t="s">
        <v>127</v>
      </c>
      <c r="G124" t="s">
        <v>46</v>
      </c>
      <c r="H124">
        <v>1</v>
      </c>
      <c r="I124">
        <v>199.99</v>
      </c>
      <c r="J124" t="s">
        <v>57</v>
      </c>
      <c r="K124" t="s">
        <v>63</v>
      </c>
      <c r="L124" t="s">
        <v>36</v>
      </c>
      <c r="M124" s="3">
        <v>44953</v>
      </c>
      <c r="N124">
        <v>199.99</v>
      </c>
    </row>
    <row r="125" spans="1:14" x14ac:dyDescent="0.3">
      <c r="A125" t="s">
        <v>261</v>
      </c>
      <c r="B125" s="3">
        <v>45566</v>
      </c>
      <c r="C125" t="s">
        <v>42</v>
      </c>
      <c r="D125" t="s">
        <v>43</v>
      </c>
      <c r="E125" t="s">
        <v>105</v>
      </c>
      <c r="F125" t="s">
        <v>106</v>
      </c>
      <c r="G125" t="s">
        <v>46</v>
      </c>
      <c r="H125">
        <v>4</v>
      </c>
      <c r="I125">
        <v>299.99</v>
      </c>
      <c r="J125" t="s">
        <v>20</v>
      </c>
      <c r="K125" t="s">
        <v>21</v>
      </c>
      <c r="L125" t="s">
        <v>27</v>
      </c>
      <c r="M125" s="3">
        <v>44460</v>
      </c>
      <c r="N125">
        <v>1199.96</v>
      </c>
    </row>
    <row r="126" spans="1:14" x14ac:dyDescent="0.3">
      <c r="A126" t="s">
        <v>262</v>
      </c>
      <c r="B126" s="3">
        <v>45572</v>
      </c>
      <c r="C126" t="s">
        <v>89</v>
      </c>
      <c r="D126" t="s">
        <v>90</v>
      </c>
      <c r="E126" t="s">
        <v>31</v>
      </c>
      <c r="F126" t="s">
        <v>32</v>
      </c>
      <c r="G126" t="s">
        <v>33</v>
      </c>
      <c r="H126">
        <v>2</v>
      </c>
      <c r="I126">
        <v>59.99</v>
      </c>
      <c r="J126" t="s">
        <v>26</v>
      </c>
      <c r="K126" t="s">
        <v>21</v>
      </c>
      <c r="L126" t="s">
        <v>22</v>
      </c>
      <c r="M126" s="3">
        <v>44579</v>
      </c>
      <c r="N126">
        <v>119.98</v>
      </c>
    </row>
    <row r="127" spans="1:14" x14ac:dyDescent="0.3">
      <c r="A127" t="s">
        <v>263</v>
      </c>
      <c r="B127" s="3">
        <v>45572</v>
      </c>
      <c r="C127" t="s">
        <v>234</v>
      </c>
      <c r="D127" t="s">
        <v>235</v>
      </c>
      <c r="E127" t="s">
        <v>52</v>
      </c>
      <c r="F127" t="s">
        <v>53</v>
      </c>
      <c r="G127" t="s">
        <v>19</v>
      </c>
      <c r="H127">
        <v>4</v>
      </c>
      <c r="I127">
        <v>149.99</v>
      </c>
      <c r="J127" t="s">
        <v>26</v>
      </c>
      <c r="K127" t="s">
        <v>40</v>
      </c>
      <c r="L127" t="s">
        <v>27</v>
      </c>
      <c r="M127" s="3">
        <v>45076</v>
      </c>
      <c r="N127">
        <v>599.96</v>
      </c>
    </row>
    <row r="128" spans="1:14" x14ac:dyDescent="0.3">
      <c r="A128" t="s">
        <v>264</v>
      </c>
      <c r="B128" s="3">
        <v>45573</v>
      </c>
      <c r="C128" t="s">
        <v>211</v>
      </c>
      <c r="D128" t="s">
        <v>212</v>
      </c>
      <c r="E128" t="s">
        <v>80</v>
      </c>
      <c r="F128" t="s">
        <v>81</v>
      </c>
      <c r="G128" t="s">
        <v>19</v>
      </c>
      <c r="H128">
        <v>2</v>
      </c>
      <c r="I128">
        <v>699.99</v>
      </c>
      <c r="J128" t="s">
        <v>57</v>
      </c>
      <c r="K128" t="s">
        <v>63</v>
      </c>
      <c r="L128" t="s">
        <v>27</v>
      </c>
      <c r="M128" s="3">
        <v>45274</v>
      </c>
      <c r="N128">
        <v>1399.98</v>
      </c>
    </row>
    <row r="129" spans="1:14" x14ac:dyDescent="0.3">
      <c r="A129" t="s">
        <v>265</v>
      </c>
      <c r="B129" s="3">
        <v>45573</v>
      </c>
      <c r="C129" t="s">
        <v>231</v>
      </c>
      <c r="D129" t="s">
        <v>232</v>
      </c>
      <c r="E129" t="s">
        <v>44</v>
      </c>
      <c r="F129" t="s">
        <v>45</v>
      </c>
      <c r="G129" t="s">
        <v>46</v>
      </c>
      <c r="H129">
        <v>3</v>
      </c>
      <c r="I129">
        <v>149.99</v>
      </c>
      <c r="J129" t="s">
        <v>26</v>
      </c>
      <c r="K129" t="s">
        <v>35</v>
      </c>
      <c r="L129" t="s">
        <v>36</v>
      </c>
      <c r="M129" s="3">
        <v>44940</v>
      </c>
      <c r="N129">
        <v>449.97</v>
      </c>
    </row>
    <row r="130" spans="1:14" x14ac:dyDescent="0.3">
      <c r="A130" t="s">
        <v>266</v>
      </c>
      <c r="B130" s="3">
        <v>45576</v>
      </c>
      <c r="C130" t="s">
        <v>147</v>
      </c>
      <c r="D130" t="s">
        <v>148</v>
      </c>
      <c r="E130" t="s">
        <v>105</v>
      </c>
      <c r="F130" t="s">
        <v>106</v>
      </c>
      <c r="G130" t="s">
        <v>46</v>
      </c>
      <c r="H130">
        <v>3</v>
      </c>
      <c r="I130">
        <v>299.99</v>
      </c>
      <c r="J130" t="s">
        <v>26</v>
      </c>
      <c r="K130" t="s">
        <v>21</v>
      </c>
      <c r="L130" t="s">
        <v>36</v>
      </c>
      <c r="M130" s="3">
        <v>45174</v>
      </c>
      <c r="N130">
        <v>899.97</v>
      </c>
    </row>
    <row r="131" spans="1:14" x14ac:dyDescent="0.3">
      <c r="A131" t="s">
        <v>267</v>
      </c>
      <c r="B131" s="3">
        <v>45579</v>
      </c>
      <c r="C131" t="s">
        <v>83</v>
      </c>
      <c r="D131" t="s">
        <v>84</v>
      </c>
      <c r="E131" t="s">
        <v>61</v>
      </c>
      <c r="F131" t="s">
        <v>62</v>
      </c>
      <c r="G131" t="s">
        <v>19</v>
      </c>
      <c r="H131">
        <v>3</v>
      </c>
      <c r="I131">
        <v>899.99</v>
      </c>
      <c r="J131" t="s">
        <v>34</v>
      </c>
      <c r="K131" t="s">
        <v>50</v>
      </c>
      <c r="L131" t="s">
        <v>22</v>
      </c>
      <c r="M131" s="3">
        <v>45215</v>
      </c>
      <c r="N131">
        <v>2699.97</v>
      </c>
    </row>
    <row r="132" spans="1:14" x14ac:dyDescent="0.3">
      <c r="A132" t="s">
        <v>268</v>
      </c>
      <c r="B132" s="3">
        <v>45581</v>
      </c>
      <c r="C132" t="s">
        <v>96</v>
      </c>
      <c r="D132" t="s">
        <v>97</v>
      </c>
      <c r="E132" t="s">
        <v>80</v>
      </c>
      <c r="F132" t="s">
        <v>81</v>
      </c>
      <c r="G132" t="s">
        <v>19</v>
      </c>
      <c r="H132">
        <v>5</v>
      </c>
      <c r="I132">
        <v>699.99</v>
      </c>
      <c r="J132" t="s">
        <v>20</v>
      </c>
      <c r="K132" t="s">
        <v>63</v>
      </c>
      <c r="L132" t="s">
        <v>36</v>
      </c>
      <c r="M132" s="3">
        <v>45008</v>
      </c>
      <c r="N132">
        <v>3499.95</v>
      </c>
    </row>
    <row r="133" spans="1:14" x14ac:dyDescent="0.3">
      <c r="A133" t="s">
        <v>269</v>
      </c>
      <c r="B133" s="3">
        <v>45581</v>
      </c>
      <c r="C133" t="s">
        <v>171</v>
      </c>
      <c r="D133" t="s">
        <v>172</v>
      </c>
      <c r="E133" t="s">
        <v>80</v>
      </c>
      <c r="F133" t="s">
        <v>81</v>
      </c>
      <c r="G133" t="s">
        <v>19</v>
      </c>
      <c r="H133">
        <v>4</v>
      </c>
      <c r="I133">
        <v>699.99</v>
      </c>
      <c r="J133" t="s">
        <v>26</v>
      </c>
      <c r="K133" t="s">
        <v>21</v>
      </c>
      <c r="L133" t="s">
        <v>22</v>
      </c>
      <c r="M133" s="3">
        <v>45385</v>
      </c>
      <c r="N133">
        <v>2799.96</v>
      </c>
    </row>
    <row r="134" spans="1:14" x14ac:dyDescent="0.3">
      <c r="A134" t="s">
        <v>270</v>
      </c>
      <c r="B134" s="3">
        <v>45581</v>
      </c>
      <c r="C134" t="s">
        <v>150</v>
      </c>
      <c r="D134" t="s">
        <v>151</v>
      </c>
      <c r="E134" t="s">
        <v>61</v>
      </c>
      <c r="F134" t="s">
        <v>62</v>
      </c>
      <c r="G134" t="s">
        <v>19</v>
      </c>
      <c r="H134">
        <v>1</v>
      </c>
      <c r="I134">
        <v>899.99</v>
      </c>
      <c r="J134" t="s">
        <v>26</v>
      </c>
      <c r="K134" t="s">
        <v>63</v>
      </c>
      <c r="L134" t="s">
        <v>36</v>
      </c>
      <c r="M134" s="3">
        <v>45369</v>
      </c>
      <c r="N134">
        <v>899.99</v>
      </c>
    </row>
    <row r="135" spans="1:14" x14ac:dyDescent="0.3">
      <c r="A135" t="s">
        <v>271</v>
      </c>
      <c r="B135" s="3">
        <v>45583</v>
      </c>
      <c r="C135" t="s">
        <v>226</v>
      </c>
      <c r="D135" t="s">
        <v>227</v>
      </c>
      <c r="E135" t="s">
        <v>52</v>
      </c>
      <c r="F135" t="s">
        <v>53</v>
      </c>
      <c r="G135" t="s">
        <v>19</v>
      </c>
      <c r="H135">
        <v>2</v>
      </c>
      <c r="I135">
        <v>149.99</v>
      </c>
      <c r="J135" t="s">
        <v>26</v>
      </c>
      <c r="K135" t="s">
        <v>50</v>
      </c>
      <c r="L135" t="s">
        <v>22</v>
      </c>
      <c r="M135" s="3">
        <v>44916</v>
      </c>
      <c r="N135">
        <v>299.98</v>
      </c>
    </row>
    <row r="136" spans="1:14" x14ac:dyDescent="0.3">
      <c r="A136" t="s">
        <v>272</v>
      </c>
      <c r="B136" s="3">
        <v>45586</v>
      </c>
      <c r="C136" t="s">
        <v>226</v>
      </c>
      <c r="D136" t="s">
        <v>227</v>
      </c>
      <c r="E136" t="s">
        <v>117</v>
      </c>
      <c r="F136" t="s">
        <v>118</v>
      </c>
      <c r="G136" t="s">
        <v>19</v>
      </c>
      <c r="H136">
        <v>3</v>
      </c>
      <c r="I136">
        <v>89.99</v>
      </c>
      <c r="J136" t="s">
        <v>34</v>
      </c>
      <c r="K136" t="s">
        <v>21</v>
      </c>
      <c r="L136" t="s">
        <v>22</v>
      </c>
      <c r="M136" s="3">
        <v>44551</v>
      </c>
      <c r="N136">
        <v>269.97000000000003</v>
      </c>
    </row>
    <row r="137" spans="1:14" x14ac:dyDescent="0.3">
      <c r="A137" t="s">
        <v>273</v>
      </c>
      <c r="B137" s="3">
        <v>45588</v>
      </c>
      <c r="C137" t="s">
        <v>38</v>
      </c>
      <c r="D137" t="s">
        <v>39</v>
      </c>
      <c r="E137" t="s">
        <v>52</v>
      </c>
      <c r="F137" t="s">
        <v>53</v>
      </c>
      <c r="G137" t="s">
        <v>19</v>
      </c>
      <c r="H137">
        <v>2</v>
      </c>
      <c r="I137">
        <v>149.99</v>
      </c>
      <c r="J137" t="s">
        <v>34</v>
      </c>
      <c r="K137" t="s">
        <v>21</v>
      </c>
      <c r="L137" t="s">
        <v>22</v>
      </c>
      <c r="M137" s="3">
        <v>44473</v>
      </c>
      <c r="N137">
        <v>299.98</v>
      </c>
    </row>
    <row r="138" spans="1:14" x14ac:dyDescent="0.3">
      <c r="A138" t="s">
        <v>274</v>
      </c>
      <c r="B138" s="3">
        <v>45588</v>
      </c>
      <c r="C138" t="s">
        <v>154</v>
      </c>
      <c r="D138" t="s">
        <v>155</v>
      </c>
      <c r="E138" t="s">
        <v>80</v>
      </c>
      <c r="F138" t="s">
        <v>81</v>
      </c>
      <c r="G138" t="s">
        <v>19</v>
      </c>
      <c r="H138">
        <v>2</v>
      </c>
      <c r="I138">
        <v>699.99</v>
      </c>
      <c r="J138" t="s">
        <v>20</v>
      </c>
      <c r="K138" t="s">
        <v>21</v>
      </c>
      <c r="L138" t="s">
        <v>22</v>
      </c>
      <c r="M138" s="3">
        <v>44992</v>
      </c>
      <c r="N138">
        <v>1399.98</v>
      </c>
    </row>
    <row r="139" spans="1:14" x14ac:dyDescent="0.3">
      <c r="A139" t="s">
        <v>275</v>
      </c>
      <c r="B139" s="3">
        <v>45589</v>
      </c>
      <c r="C139" t="s">
        <v>158</v>
      </c>
      <c r="D139" t="s">
        <v>159</v>
      </c>
      <c r="E139" t="s">
        <v>80</v>
      </c>
      <c r="F139" t="s">
        <v>81</v>
      </c>
      <c r="G139" t="s">
        <v>19</v>
      </c>
      <c r="H139">
        <v>5</v>
      </c>
      <c r="I139">
        <v>699.99</v>
      </c>
      <c r="J139" t="s">
        <v>20</v>
      </c>
      <c r="K139" t="s">
        <v>40</v>
      </c>
      <c r="L139" t="s">
        <v>27</v>
      </c>
      <c r="M139" s="3">
        <v>44635</v>
      </c>
      <c r="N139">
        <v>3499.95</v>
      </c>
    </row>
    <row r="140" spans="1:14" x14ac:dyDescent="0.3">
      <c r="A140" t="s">
        <v>276</v>
      </c>
      <c r="B140" s="3">
        <v>45592</v>
      </c>
      <c r="C140" t="s">
        <v>171</v>
      </c>
      <c r="D140" t="s">
        <v>172</v>
      </c>
      <c r="E140" t="s">
        <v>117</v>
      </c>
      <c r="F140" t="s">
        <v>118</v>
      </c>
      <c r="G140" t="s">
        <v>19</v>
      </c>
      <c r="H140">
        <v>3</v>
      </c>
      <c r="I140">
        <v>89.99</v>
      </c>
      <c r="J140" t="s">
        <v>26</v>
      </c>
      <c r="K140" t="s">
        <v>40</v>
      </c>
      <c r="L140" t="s">
        <v>36</v>
      </c>
      <c r="M140" s="3">
        <v>44615</v>
      </c>
      <c r="N140">
        <v>269.97000000000003</v>
      </c>
    </row>
    <row r="141" spans="1:14" x14ac:dyDescent="0.3">
      <c r="A141" t="s">
        <v>277</v>
      </c>
      <c r="B141" s="3">
        <v>45597</v>
      </c>
      <c r="C141" t="s">
        <v>15</v>
      </c>
      <c r="D141" t="s">
        <v>16</v>
      </c>
      <c r="E141" t="s">
        <v>17</v>
      </c>
      <c r="F141" t="s">
        <v>18</v>
      </c>
      <c r="G141" t="s">
        <v>19</v>
      </c>
      <c r="H141">
        <v>5</v>
      </c>
      <c r="I141">
        <v>249.99</v>
      </c>
      <c r="J141" t="s">
        <v>26</v>
      </c>
      <c r="K141" t="s">
        <v>35</v>
      </c>
      <c r="L141" t="s">
        <v>36</v>
      </c>
      <c r="M141" s="3">
        <v>44881</v>
      </c>
      <c r="N141">
        <v>1249.95</v>
      </c>
    </row>
    <row r="142" spans="1:14" x14ac:dyDescent="0.3">
      <c r="A142" t="s">
        <v>278</v>
      </c>
      <c r="B142" s="3">
        <v>45600</v>
      </c>
      <c r="C142" t="s">
        <v>65</v>
      </c>
      <c r="D142" t="s">
        <v>66</v>
      </c>
      <c r="E142" t="s">
        <v>105</v>
      </c>
      <c r="F142" t="s">
        <v>106</v>
      </c>
      <c r="G142" t="s">
        <v>46</v>
      </c>
      <c r="H142">
        <v>3</v>
      </c>
      <c r="I142">
        <v>299.99</v>
      </c>
      <c r="J142" t="s">
        <v>26</v>
      </c>
      <c r="K142" t="s">
        <v>35</v>
      </c>
      <c r="L142" t="s">
        <v>36</v>
      </c>
      <c r="M142" s="3">
        <v>44502</v>
      </c>
      <c r="N142">
        <v>899.97</v>
      </c>
    </row>
    <row r="143" spans="1:14" x14ac:dyDescent="0.3">
      <c r="A143" t="s">
        <v>279</v>
      </c>
      <c r="B143" s="3">
        <v>45603</v>
      </c>
      <c r="C143" t="s">
        <v>99</v>
      </c>
      <c r="D143" t="s">
        <v>100</v>
      </c>
      <c r="E143" t="s">
        <v>117</v>
      </c>
      <c r="F143" t="s">
        <v>118</v>
      </c>
      <c r="G143" t="s">
        <v>19</v>
      </c>
      <c r="H143">
        <v>3</v>
      </c>
      <c r="I143">
        <v>89.99</v>
      </c>
      <c r="J143" t="s">
        <v>26</v>
      </c>
      <c r="K143" t="s">
        <v>40</v>
      </c>
      <c r="L143" t="s">
        <v>27</v>
      </c>
      <c r="M143" s="3">
        <v>44420</v>
      </c>
      <c r="N143">
        <v>269.97000000000003</v>
      </c>
    </row>
    <row r="144" spans="1:14" x14ac:dyDescent="0.3">
      <c r="A144" t="s">
        <v>280</v>
      </c>
      <c r="B144" s="3">
        <v>45604</v>
      </c>
      <c r="C144" t="s">
        <v>89</v>
      </c>
      <c r="D144" t="s">
        <v>90</v>
      </c>
      <c r="E144" t="s">
        <v>44</v>
      </c>
      <c r="F144" t="s">
        <v>45</v>
      </c>
      <c r="G144" t="s">
        <v>46</v>
      </c>
      <c r="H144">
        <v>2</v>
      </c>
      <c r="I144">
        <v>149.99</v>
      </c>
      <c r="J144" t="s">
        <v>26</v>
      </c>
      <c r="K144" t="s">
        <v>50</v>
      </c>
      <c r="L144" t="s">
        <v>27</v>
      </c>
      <c r="M144" s="3">
        <v>44848</v>
      </c>
      <c r="N144">
        <v>299.98</v>
      </c>
    </row>
    <row r="145" spans="1:14" x14ac:dyDescent="0.3">
      <c r="A145" t="s">
        <v>281</v>
      </c>
      <c r="B145" s="3">
        <v>45605</v>
      </c>
      <c r="C145" t="s">
        <v>185</v>
      </c>
      <c r="D145" t="s">
        <v>186</v>
      </c>
      <c r="E145" t="s">
        <v>17</v>
      </c>
      <c r="F145" t="s">
        <v>18</v>
      </c>
      <c r="G145" t="s">
        <v>19</v>
      </c>
      <c r="H145">
        <v>1</v>
      </c>
      <c r="I145">
        <v>249.99</v>
      </c>
      <c r="J145" t="s">
        <v>26</v>
      </c>
      <c r="K145" t="s">
        <v>40</v>
      </c>
      <c r="L145" t="s">
        <v>27</v>
      </c>
      <c r="M145" s="3">
        <v>44828</v>
      </c>
      <c r="N145">
        <v>249.99</v>
      </c>
    </row>
    <row r="146" spans="1:14" x14ac:dyDescent="0.3">
      <c r="A146" t="s">
        <v>282</v>
      </c>
      <c r="B146" s="3">
        <v>45607</v>
      </c>
      <c r="C146" t="s">
        <v>72</v>
      </c>
      <c r="D146" t="s">
        <v>73</v>
      </c>
      <c r="E146" t="s">
        <v>52</v>
      </c>
      <c r="F146" t="s">
        <v>53</v>
      </c>
      <c r="G146" t="s">
        <v>19</v>
      </c>
      <c r="H146">
        <v>3</v>
      </c>
      <c r="I146">
        <v>149.99</v>
      </c>
      <c r="J146" t="s">
        <v>20</v>
      </c>
      <c r="K146" t="s">
        <v>40</v>
      </c>
      <c r="L146" t="s">
        <v>22</v>
      </c>
      <c r="M146" s="3">
        <v>44769</v>
      </c>
      <c r="N146">
        <v>449.97</v>
      </c>
    </row>
    <row r="147" spans="1:14" x14ac:dyDescent="0.3">
      <c r="A147" t="s">
        <v>283</v>
      </c>
      <c r="B147" s="3">
        <v>45607</v>
      </c>
      <c r="C147" t="s">
        <v>15</v>
      </c>
      <c r="D147" t="s">
        <v>16</v>
      </c>
      <c r="E147" t="s">
        <v>31</v>
      </c>
      <c r="F147" t="s">
        <v>32</v>
      </c>
      <c r="G147" t="s">
        <v>33</v>
      </c>
      <c r="H147">
        <v>5</v>
      </c>
      <c r="I147">
        <v>59.99</v>
      </c>
      <c r="J147" t="s">
        <v>34</v>
      </c>
      <c r="K147" t="s">
        <v>50</v>
      </c>
      <c r="L147" t="s">
        <v>27</v>
      </c>
      <c r="M147" s="3">
        <v>44694</v>
      </c>
      <c r="N147">
        <v>299.95</v>
      </c>
    </row>
    <row r="148" spans="1:14" x14ac:dyDescent="0.3">
      <c r="A148" t="s">
        <v>284</v>
      </c>
      <c r="B148" s="3">
        <v>45607</v>
      </c>
      <c r="C148" t="s">
        <v>99</v>
      </c>
      <c r="D148" t="s">
        <v>100</v>
      </c>
      <c r="E148" t="s">
        <v>17</v>
      </c>
      <c r="F148" t="s">
        <v>18</v>
      </c>
      <c r="G148" t="s">
        <v>19</v>
      </c>
      <c r="H148">
        <v>4</v>
      </c>
      <c r="I148">
        <v>249.99</v>
      </c>
      <c r="J148" t="s">
        <v>26</v>
      </c>
      <c r="K148" t="s">
        <v>50</v>
      </c>
      <c r="L148" t="s">
        <v>36</v>
      </c>
      <c r="M148" s="3">
        <v>44659</v>
      </c>
      <c r="N148">
        <v>999.96</v>
      </c>
    </row>
    <row r="149" spans="1:14" x14ac:dyDescent="0.3">
      <c r="A149" t="s">
        <v>285</v>
      </c>
      <c r="B149" s="3">
        <v>45608</v>
      </c>
      <c r="C149" t="s">
        <v>154</v>
      </c>
      <c r="D149" t="s">
        <v>155</v>
      </c>
      <c r="E149" t="s">
        <v>44</v>
      </c>
      <c r="F149" t="s">
        <v>45</v>
      </c>
      <c r="G149" t="s">
        <v>46</v>
      </c>
      <c r="H149">
        <v>5</v>
      </c>
      <c r="I149">
        <v>149.99</v>
      </c>
      <c r="J149" t="s">
        <v>34</v>
      </c>
      <c r="K149" t="s">
        <v>21</v>
      </c>
      <c r="L149" t="s">
        <v>22</v>
      </c>
      <c r="M149" s="3">
        <v>44901</v>
      </c>
      <c r="N149">
        <v>749.95</v>
      </c>
    </row>
    <row r="150" spans="1:14" x14ac:dyDescent="0.3">
      <c r="A150" t="s">
        <v>286</v>
      </c>
      <c r="B150" s="3">
        <v>45608</v>
      </c>
      <c r="C150" t="s">
        <v>83</v>
      </c>
      <c r="D150" t="s">
        <v>84</v>
      </c>
      <c r="E150" t="s">
        <v>31</v>
      </c>
      <c r="F150" t="s">
        <v>32</v>
      </c>
      <c r="G150" t="s">
        <v>33</v>
      </c>
      <c r="H150">
        <v>3</v>
      </c>
      <c r="I150">
        <v>59.99</v>
      </c>
      <c r="J150" t="s">
        <v>57</v>
      </c>
      <c r="K150" t="s">
        <v>35</v>
      </c>
      <c r="L150" t="s">
        <v>36</v>
      </c>
      <c r="M150" s="3">
        <v>45260</v>
      </c>
      <c r="N150">
        <v>179.97</v>
      </c>
    </row>
    <row r="151" spans="1:14" x14ac:dyDescent="0.3">
      <c r="A151" t="s">
        <v>287</v>
      </c>
      <c r="B151" s="3">
        <v>45613</v>
      </c>
      <c r="C151" t="s">
        <v>234</v>
      </c>
      <c r="D151" t="s">
        <v>235</v>
      </c>
      <c r="E151" t="s">
        <v>44</v>
      </c>
      <c r="F151" t="s">
        <v>45</v>
      </c>
      <c r="G151" t="s">
        <v>46</v>
      </c>
      <c r="H151">
        <v>5</v>
      </c>
      <c r="I151">
        <v>149.99</v>
      </c>
      <c r="J151" t="s">
        <v>20</v>
      </c>
      <c r="K151" t="s">
        <v>40</v>
      </c>
      <c r="L151" t="s">
        <v>22</v>
      </c>
      <c r="M151" s="3">
        <v>44869</v>
      </c>
      <c r="N151">
        <v>749.95</v>
      </c>
    </row>
    <row r="152" spans="1:14" x14ac:dyDescent="0.3">
      <c r="A152" t="s">
        <v>288</v>
      </c>
      <c r="B152" s="3">
        <v>45613</v>
      </c>
      <c r="C152" t="s">
        <v>86</v>
      </c>
      <c r="D152" t="s">
        <v>87</v>
      </c>
      <c r="E152" t="s">
        <v>80</v>
      </c>
      <c r="F152" t="s">
        <v>81</v>
      </c>
      <c r="G152" t="s">
        <v>19</v>
      </c>
      <c r="H152">
        <v>2</v>
      </c>
      <c r="I152">
        <v>699.99</v>
      </c>
      <c r="J152" t="s">
        <v>34</v>
      </c>
      <c r="K152" t="s">
        <v>50</v>
      </c>
      <c r="L152" t="s">
        <v>36</v>
      </c>
      <c r="M152" s="3">
        <v>44770</v>
      </c>
      <c r="N152">
        <v>1399.98</v>
      </c>
    </row>
    <row r="153" spans="1:14" x14ac:dyDescent="0.3">
      <c r="A153" t="s">
        <v>289</v>
      </c>
      <c r="B153" s="3">
        <v>45617</v>
      </c>
      <c r="C153" t="s">
        <v>123</v>
      </c>
      <c r="D153" t="s">
        <v>124</v>
      </c>
      <c r="E153" t="s">
        <v>126</v>
      </c>
      <c r="F153" t="s">
        <v>127</v>
      </c>
      <c r="G153" t="s">
        <v>46</v>
      </c>
      <c r="H153">
        <v>4</v>
      </c>
      <c r="I153">
        <v>199.99</v>
      </c>
      <c r="J153" t="s">
        <v>57</v>
      </c>
      <c r="K153" t="s">
        <v>21</v>
      </c>
      <c r="L153" t="s">
        <v>27</v>
      </c>
      <c r="M153" s="3">
        <v>44427</v>
      </c>
      <c r="N153">
        <v>799.96</v>
      </c>
    </row>
    <row r="154" spans="1:14" x14ac:dyDescent="0.3">
      <c r="A154" t="s">
        <v>290</v>
      </c>
      <c r="B154" s="3">
        <v>45619</v>
      </c>
      <c r="C154" t="s">
        <v>192</v>
      </c>
      <c r="D154" t="s">
        <v>193</v>
      </c>
      <c r="E154" t="s">
        <v>31</v>
      </c>
      <c r="F154" t="s">
        <v>32</v>
      </c>
      <c r="G154" t="s">
        <v>33</v>
      </c>
      <c r="H154">
        <v>1</v>
      </c>
      <c r="I154">
        <v>59.99</v>
      </c>
      <c r="J154" t="s">
        <v>57</v>
      </c>
      <c r="K154" t="s">
        <v>50</v>
      </c>
      <c r="L154" t="s">
        <v>36</v>
      </c>
      <c r="M154" s="3">
        <v>44560</v>
      </c>
      <c r="N154">
        <v>59.99</v>
      </c>
    </row>
    <row r="155" spans="1:14" x14ac:dyDescent="0.3">
      <c r="A155" t="s">
        <v>291</v>
      </c>
      <c r="B155" s="3">
        <v>45619</v>
      </c>
      <c r="C155" t="s">
        <v>154</v>
      </c>
      <c r="D155" t="s">
        <v>155</v>
      </c>
      <c r="E155" t="s">
        <v>80</v>
      </c>
      <c r="F155" t="s">
        <v>81</v>
      </c>
      <c r="G155" t="s">
        <v>19</v>
      </c>
      <c r="H155">
        <v>3</v>
      </c>
      <c r="I155">
        <v>699.99</v>
      </c>
      <c r="J155" t="s">
        <v>34</v>
      </c>
      <c r="K155" t="s">
        <v>50</v>
      </c>
      <c r="L155" t="s">
        <v>36</v>
      </c>
      <c r="M155" s="3">
        <v>44583</v>
      </c>
      <c r="N155">
        <v>2099.9699999999998</v>
      </c>
    </row>
    <row r="156" spans="1:14" x14ac:dyDescent="0.3">
      <c r="A156" t="s">
        <v>292</v>
      </c>
      <c r="B156" s="3">
        <v>45622</v>
      </c>
      <c r="C156" t="s">
        <v>293</v>
      </c>
      <c r="D156" t="s">
        <v>294</v>
      </c>
      <c r="E156" t="s">
        <v>17</v>
      </c>
      <c r="F156" t="s">
        <v>18</v>
      </c>
      <c r="G156" t="s">
        <v>19</v>
      </c>
      <c r="H156">
        <v>5</v>
      </c>
      <c r="I156">
        <v>249.99</v>
      </c>
      <c r="J156" t="s">
        <v>26</v>
      </c>
      <c r="K156" t="s">
        <v>40</v>
      </c>
      <c r="L156" t="s">
        <v>22</v>
      </c>
      <c r="M156" s="3">
        <v>44873</v>
      </c>
      <c r="N156">
        <v>1249.95</v>
      </c>
    </row>
    <row r="157" spans="1:14" x14ac:dyDescent="0.3">
      <c r="A157" t="s">
        <v>295</v>
      </c>
      <c r="B157" s="3">
        <v>45623</v>
      </c>
      <c r="C157" t="s">
        <v>112</v>
      </c>
      <c r="D157" t="s">
        <v>113</v>
      </c>
      <c r="E157" t="s">
        <v>44</v>
      </c>
      <c r="F157" t="s">
        <v>45</v>
      </c>
      <c r="G157" t="s">
        <v>46</v>
      </c>
      <c r="H157">
        <v>2</v>
      </c>
      <c r="I157">
        <v>149.99</v>
      </c>
      <c r="J157" t="s">
        <v>20</v>
      </c>
      <c r="K157" t="s">
        <v>35</v>
      </c>
      <c r="L157" t="s">
        <v>36</v>
      </c>
      <c r="M157" s="3">
        <v>45101</v>
      </c>
      <c r="N157">
        <v>299.98</v>
      </c>
    </row>
    <row r="158" spans="1:14" x14ac:dyDescent="0.3">
      <c r="A158" t="s">
        <v>296</v>
      </c>
      <c r="B158" s="3">
        <v>45627</v>
      </c>
      <c r="C158" t="s">
        <v>29</v>
      </c>
      <c r="D158" t="s">
        <v>30</v>
      </c>
      <c r="E158" t="s">
        <v>105</v>
      </c>
      <c r="F158" t="s">
        <v>106</v>
      </c>
      <c r="G158" t="s">
        <v>46</v>
      </c>
      <c r="H158">
        <v>3</v>
      </c>
      <c r="I158">
        <v>299.99</v>
      </c>
      <c r="J158" t="s">
        <v>20</v>
      </c>
      <c r="K158" t="s">
        <v>35</v>
      </c>
      <c r="L158" t="s">
        <v>27</v>
      </c>
      <c r="M158" s="3">
        <v>44659</v>
      </c>
      <c r="N158">
        <v>899.97</v>
      </c>
    </row>
    <row r="159" spans="1:14" x14ac:dyDescent="0.3">
      <c r="A159" t="s">
        <v>297</v>
      </c>
      <c r="B159" s="3">
        <v>45627</v>
      </c>
      <c r="C159" t="s">
        <v>55</v>
      </c>
      <c r="D159" t="s">
        <v>56</v>
      </c>
      <c r="E159" t="s">
        <v>17</v>
      </c>
      <c r="F159" t="s">
        <v>18</v>
      </c>
      <c r="G159" t="s">
        <v>19</v>
      </c>
      <c r="H159">
        <v>5</v>
      </c>
      <c r="I159">
        <v>249.99</v>
      </c>
      <c r="J159" t="s">
        <v>20</v>
      </c>
      <c r="K159" t="s">
        <v>21</v>
      </c>
      <c r="L159" t="s">
        <v>27</v>
      </c>
      <c r="M159" s="3">
        <v>44485</v>
      </c>
      <c r="N159">
        <v>1249.95</v>
      </c>
    </row>
    <row r="160" spans="1:14" x14ac:dyDescent="0.3">
      <c r="A160" t="s">
        <v>298</v>
      </c>
      <c r="B160" s="3">
        <v>45627</v>
      </c>
      <c r="C160" t="s">
        <v>24</v>
      </c>
      <c r="D160" t="s">
        <v>25</v>
      </c>
      <c r="E160" t="s">
        <v>52</v>
      </c>
      <c r="F160" t="s">
        <v>53</v>
      </c>
      <c r="G160" t="s">
        <v>19</v>
      </c>
      <c r="H160">
        <v>2</v>
      </c>
      <c r="I160">
        <v>149.99</v>
      </c>
      <c r="J160" t="s">
        <v>20</v>
      </c>
      <c r="K160" t="s">
        <v>35</v>
      </c>
      <c r="L160" t="s">
        <v>27</v>
      </c>
      <c r="M160" s="3">
        <v>44475</v>
      </c>
      <c r="N160">
        <v>299.98</v>
      </c>
    </row>
    <row r="161" spans="1:14" x14ac:dyDescent="0.3">
      <c r="A161" t="s">
        <v>299</v>
      </c>
      <c r="B161" s="3">
        <v>45627</v>
      </c>
      <c r="C161" t="s">
        <v>86</v>
      </c>
      <c r="D161" t="s">
        <v>87</v>
      </c>
      <c r="E161" t="s">
        <v>80</v>
      </c>
      <c r="F161" t="s">
        <v>81</v>
      </c>
      <c r="G161" t="s">
        <v>19</v>
      </c>
      <c r="H161">
        <v>5</v>
      </c>
      <c r="I161">
        <v>699.99</v>
      </c>
      <c r="J161" t="s">
        <v>57</v>
      </c>
      <c r="K161" t="s">
        <v>50</v>
      </c>
      <c r="L161" t="s">
        <v>36</v>
      </c>
      <c r="M161" s="3">
        <v>44944</v>
      </c>
      <c r="N161">
        <v>3499.95</v>
      </c>
    </row>
    <row r="162" spans="1:14" x14ac:dyDescent="0.3">
      <c r="A162" t="s">
        <v>300</v>
      </c>
      <c r="B162" s="3">
        <v>45629</v>
      </c>
      <c r="C162" t="s">
        <v>252</v>
      </c>
      <c r="D162" t="s">
        <v>253</v>
      </c>
      <c r="E162" t="s">
        <v>17</v>
      </c>
      <c r="F162" t="s">
        <v>18</v>
      </c>
      <c r="G162" t="s">
        <v>19</v>
      </c>
      <c r="H162">
        <v>4</v>
      </c>
      <c r="I162">
        <v>249.99</v>
      </c>
      <c r="J162" t="s">
        <v>34</v>
      </c>
      <c r="K162" t="s">
        <v>63</v>
      </c>
      <c r="L162" t="s">
        <v>27</v>
      </c>
      <c r="M162" s="3">
        <v>45098</v>
      </c>
      <c r="N162">
        <v>999.96</v>
      </c>
    </row>
    <row r="163" spans="1:14" x14ac:dyDescent="0.3">
      <c r="A163" t="s">
        <v>301</v>
      </c>
      <c r="B163" s="3">
        <v>45630</v>
      </c>
      <c r="C163" t="s">
        <v>48</v>
      </c>
      <c r="D163" t="s">
        <v>49</v>
      </c>
      <c r="E163" t="s">
        <v>80</v>
      </c>
      <c r="F163" t="s">
        <v>81</v>
      </c>
      <c r="G163" t="s">
        <v>19</v>
      </c>
      <c r="H163">
        <v>4</v>
      </c>
      <c r="I163">
        <v>699.99</v>
      </c>
      <c r="J163" t="s">
        <v>26</v>
      </c>
      <c r="K163" t="s">
        <v>40</v>
      </c>
      <c r="L163" t="s">
        <v>27</v>
      </c>
      <c r="M163" s="3">
        <v>44703</v>
      </c>
      <c r="N163">
        <v>2799.96</v>
      </c>
    </row>
    <row r="164" spans="1:14" x14ac:dyDescent="0.3">
      <c r="A164" t="s">
        <v>302</v>
      </c>
      <c r="B164" s="3">
        <v>45635</v>
      </c>
      <c r="C164" t="s">
        <v>108</v>
      </c>
      <c r="D164" t="s">
        <v>109</v>
      </c>
      <c r="E164" t="s">
        <v>17</v>
      </c>
      <c r="F164" t="s">
        <v>18</v>
      </c>
      <c r="G164" t="s">
        <v>19</v>
      </c>
      <c r="H164">
        <v>2</v>
      </c>
      <c r="I164">
        <v>249.99</v>
      </c>
      <c r="J164" t="s">
        <v>26</v>
      </c>
      <c r="K164" t="s">
        <v>21</v>
      </c>
      <c r="L164" t="s">
        <v>27</v>
      </c>
      <c r="M164" s="3">
        <v>44396</v>
      </c>
      <c r="N164">
        <v>499.98</v>
      </c>
    </row>
    <row r="165" spans="1:14" x14ac:dyDescent="0.3">
      <c r="A165" t="s">
        <v>303</v>
      </c>
      <c r="B165" s="3">
        <v>45635</v>
      </c>
      <c r="C165" t="s">
        <v>304</v>
      </c>
      <c r="D165" t="s">
        <v>305</v>
      </c>
      <c r="E165" t="s">
        <v>31</v>
      </c>
      <c r="F165" t="s">
        <v>32</v>
      </c>
      <c r="G165" t="s">
        <v>33</v>
      </c>
      <c r="H165">
        <v>3</v>
      </c>
      <c r="I165">
        <v>59.99</v>
      </c>
      <c r="J165" t="s">
        <v>20</v>
      </c>
      <c r="K165" t="s">
        <v>21</v>
      </c>
      <c r="L165" t="s">
        <v>27</v>
      </c>
      <c r="M165" s="3">
        <v>45052</v>
      </c>
      <c r="N165">
        <v>179.97</v>
      </c>
    </row>
    <row r="166" spans="1:14" x14ac:dyDescent="0.3">
      <c r="A166" t="s">
        <v>306</v>
      </c>
      <c r="B166" s="3">
        <v>45635</v>
      </c>
      <c r="C166" t="s">
        <v>141</v>
      </c>
      <c r="D166" t="s">
        <v>142</v>
      </c>
      <c r="E166" t="s">
        <v>114</v>
      </c>
      <c r="F166" t="s">
        <v>115</v>
      </c>
      <c r="G166" t="s">
        <v>33</v>
      </c>
      <c r="H166">
        <v>4</v>
      </c>
      <c r="I166">
        <v>79.989999999999995</v>
      </c>
      <c r="J166" t="s">
        <v>57</v>
      </c>
      <c r="K166" t="s">
        <v>63</v>
      </c>
      <c r="L166" t="s">
        <v>36</v>
      </c>
      <c r="M166" s="3">
        <v>44921</v>
      </c>
      <c r="N166">
        <v>319.95999999999998</v>
      </c>
    </row>
    <row r="167" spans="1:14" x14ac:dyDescent="0.3">
      <c r="A167" t="s">
        <v>307</v>
      </c>
      <c r="B167" s="3">
        <v>45636</v>
      </c>
      <c r="C167" t="s">
        <v>120</v>
      </c>
      <c r="D167" t="s">
        <v>121</v>
      </c>
      <c r="E167" t="s">
        <v>114</v>
      </c>
      <c r="F167" t="s">
        <v>115</v>
      </c>
      <c r="G167" t="s">
        <v>33</v>
      </c>
      <c r="H167">
        <v>3</v>
      </c>
      <c r="I167">
        <v>79.989999999999995</v>
      </c>
      <c r="J167" t="s">
        <v>57</v>
      </c>
      <c r="K167" t="s">
        <v>63</v>
      </c>
      <c r="L167" t="s">
        <v>36</v>
      </c>
      <c r="M167" s="3">
        <v>44779</v>
      </c>
      <c r="N167">
        <v>239.97</v>
      </c>
    </row>
    <row r="168" spans="1:14" x14ac:dyDescent="0.3">
      <c r="A168" t="s">
        <v>308</v>
      </c>
      <c r="B168" s="3">
        <v>45638</v>
      </c>
      <c r="C168" t="s">
        <v>72</v>
      </c>
      <c r="D168" t="s">
        <v>73</v>
      </c>
      <c r="E168" t="s">
        <v>61</v>
      </c>
      <c r="F168" t="s">
        <v>62</v>
      </c>
      <c r="G168" t="s">
        <v>19</v>
      </c>
      <c r="H168">
        <v>2</v>
      </c>
      <c r="I168">
        <v>899.99</v>
      </c>
      <c r="J168" t="s">
        <v>20</v>
      </c>
      <c r="K168" t="s">
        <v>40</v>
      </c>
      <c r="L168" t="s">
        <v>22</v>
      </c>
      <c r="M168" s="3">
        <v>44406</v>
      </c>
      <c r="N168">
        <v>1799.98</v>
      </c>
    </row>
    <row r="169" spans="1:14" x14ac:dyDescent="0.3">
      <c r="A169" t="s">
        <v>309</v>
      </c>
      <c r="B169" s="3">
        <v>45641</v>
      </c>
      <c r="C169" t="s">
        <v>182</v>
      </c>
      <c r="D169" t="s">
        <v>183</v>
      </c>
      <c r="E169" t="s">
        <v>44</v>
      </c>
      <c r="F169" t="s">
        <v>45</v>
      </c>
      <c r="G169" t="s">
        <v>46</v>
      </c>
      <c r="H169">
        <v>1</v>
      </c>
      <c r="I169">
        <v>149.99</v>
      </c>
      <c r="J169" t="s">
        <v>57</v>
      </c>
      <c r="K169" t="s">
        <v>63</v>
      </c>
      <c r="L169" t="s">
        <v>36</v>
      </c>
      <c r="M169" s="3">
        <v>45200</v>
      </c>
      <c r="N169">
        <v>149.99</v>
      </c>
    </row>
    <row r="170" spans="1:14" x14ac:dyDescent="0.3">
      <c r="A170" t="s">
        <v>310</v>
      </c>
      <c r="B170" s="3">
        <v>45641</v>
      </c>
      <c r="C170" t="s">
        <v>138</v>
      </c>
      <c r="D170" t="s">
        <v>139</v>
      </c>
      <c r="E170" t="s">
        <v>105</v>
      </c>
      <c r="F170" t="s">
        <v>106</v>
      </c>
      <c r="G170" t="s">
        <v>46</v>
      </c>
      <c r="H170">
        <v>2</v>
      </c>
      <c r="I170">
        <v>299.99</v>
      </c>
      <c r="J170" t="s">
        <v>20</v>
      </c>
      <c r="K170" t="s">
        <v>63</v>
      </c>
      <c r="L170" t="s">
        <v>27</v>
      </c>
      <c r="M170" s="3">
        <v>44724</v>
      </c>
      <c r="N170">
        <v>599.98</v>
      </c>
    </row>
    <row r="171" spans="1:14" x14ac:dyDescent="0.3">
      <c r="A171" t="s">
        <v>311</v>
      </c>
      <c r="B171" s="3">
        <v>45644</v>
      </c>
      <c r="C171" t="s">
        <v>132</v>
      </c>
      <c r="D171" t="s">
        <v>133</v>
      </c>
      <c r="E171" t="s">
        <v>31</v>
      </c>
      <c r="F171" t="s">
        <v>32</v>
      </c>
      <c r="G171" t="s">
        <v>33</v>
      </c>
      <c r="H171">
        <v>2</v>
      </c>
      <c r="I171">
        <v>59.99</v>
      </c>
      <c r="J171" t="s">
        <v>20</v>
      </c>
      <c r="K171" t="s">
        <v>50</v>
      </c>
      <c r="L171" t="s">
        <v>22</v>
      </c>
      <c r="M171" s="3">
        <v>45191</v>
      </c>
      <c r="N171">
        <v>119.98</v>
      </c>
    </row>
    <row r="172" spans="1:14" x14ac:dyDescent="0.3">
      <c r="A172" t="s">
        <v>312</v>
      </c>
      <c r="B172" s="3">
        <v>45645</v>
      </c>
      <c r="C172" t="s">
        <v>182</v>
      </c>
      <c r="D172" t="s">
        <v>183</v>
      </c>
      <c r="E172" t="s">
        <v>117</v>
      </c>
      <c r="F172" t="s">
        <v>118</v>
      </c>
      <c r="G172" t="s">
        <v>19</v>
      </c>
      <c r="H172">
        <v>1</v>
      </c>
      <c r="I172">
        <v>89.99</v>
      </c>
      <c r="J172" t="s">
        <v>57</v>
      </c>
      <c r="K172" t="s">
        <v>21</v>
      </c>
      <c r="L172" t="s">
        <v>36</v>
      </c>
      <c r="M172" s="3">
        <v>44760</v>
      </c>
      <c r="N172">
        <v>89.99</v>
      </c>
    </row>
    <row r="173" spans="1:14" x14ac:dyDescent="0.3">
      <c r="A173" t="s">
        <v>313</v>
      </c>
      <c r="B173" s="3">
        <v>45645</v>
      </c>
      <c r="C173" t="s">
        <v>147</v>
      </c>
      <c r="D173" t="s">
        <v>148</v>
      </c>
      <c r="E173" t="s">
        <v>61</v>
      </c>
      <c r="F173" t="s">
        <v>62</v>
      </c>
      <c r="G173" t="s">
        <v>19</v>
      </c>
      <c r="H173">
        <v>5</v>
      </c>
      <c r="I173">
        <v>899.99</v>
      </c>
      <c r="J173" t="s">
        <v>57</v>
      </c>
      <c r="K173" t="s">
        <v>63</v>
      </c>
      <c r="L173" t="s">
        <v>36</v>
      </c>
      <c r="M173" s="3">
        <v>44625</v>
      </c>
      <c r="N173">
        <v>4499.95</v>
      </c>
    </row>
    <row r="174" spans="1:14" x14ac:dyDescent="0.3">
      <c r="A174" t="s">
        <v>314</v>
      </c>
      <c r="B174" s="3">
        <v>45646</v>
      </c>
      <c r="C174" t="s">
        <v>42</v>
      </c>
      <c r="D174" t="s">
        <v>43</v>
      </c>
      <c r="E174" t="s">
        <v>44</v>
      </c>
      <c r="F174" t="s">
        <v>45</v>
      </c>
      <c r="G174" t="s">
        <v>46</v>
      </c>
      <c r="H174">
        <v>2</v>
      </c>
      <c r="I174">
        <v>149.99</v>
      </c>
      <c r="J174" t="s">
        <v>20</v>
      </c>
      <c r="K174" t="s">
        <v>35</v>
      </c>
      <c r="L174" t="s">
        <v>22</v>
      </c>
      <c r="M174" s="3">
        <v>45239</v>
      </c>
      <c r="N174">
        <v>299.98</v>
      </c>
    </row>
    <row r="175" spans="1:14" x14ac:dyDescent="0.3">
      <c r="A175" t="s">
        <v>315</v>
      </c>
      <c r="B175" s="3">
        <v>45648</v>
      </c>
      <c r="C175" t="s">
        <v>112</v>
      </c>
      <c r="D175" t="s">
        <v>113</v>
      </c>
      <c r="E175" t="s">
        <v>52</v>
      </c>
      <c r="F175" t="s">
        <v>53</v>
      </c>
      <c r="G175" t="s">
        <v>19</v>
      </c>
      <c r="H175">
        <v>2</v>
      </c>
      <c r="I175">
        <v>149.99</v>
      </c>
      <c r="J175" t="s">
        <v>57</v>
      </c>
      <c r="K175" t="s">
        <v>50</v>
      </c>
      <c r="L175" t="s">
        <v>27</v>
      </c>
      <c r="M175" s="3">
        <v>45280</v>
      </c>
      <c r="N175">
        <v>299.98</v>
      </c>
    </row>
    <row r="176" spans="1:14" x14ac:dyDescent="0.3">
      <c r="A176" t="s">
        <v>316</v>
      </c>
      <c r="B176" s="3">
        <v>45648</v>
      </c>
      <c r="C176" t="s">
        <v>182</v>
      </c>
      <c r="D176" t="s">
        <v>183</v>
      </c>
      <c r="E176" t="s">
        <v>44</v>
      </c>
      <c r="F176" t="s">
        <v>45</v>
      </c>
      <c r="G176" t="s">
        <v>46</v>
      </c>
      <c r="H176">
        <v>3</v>
      </c>
      <c r="I176">
        <v>149.99</v>
      </c>
      <c r="J176" t="s">
        <v>57</v>
      </c>
      <c r="K176" t="s">
        <v>40</v>
      </c>
      <c r="L176" t="s">
        <v>36</v>
      </c>
      <c r="M176" s="3">
        <v>44522</v>
      </c>
      <c r="N176">
        <v>449.97</v>
      </c>
    </row>
    <row r="177" spans="1:14" x14ac:dyDescent="0.3">
      <c r="A177" t="s">
        <v>317</v>
      </c>
      <c r="B177" s="3">
        <v>45649</v>
      </c>
      <c r="C177" t="s">
        <v>29</v>
      </c>
      <c r="D177" t="s">
        <v>30</v>
      </c>
      <c r="E177" t="s">
        <v>105</v>
      </c>
      <c r="F177" t="s">
        <v>106</v>
      </c>
      <c r="G177" t="s">
        <v>46</v>
      </c>
      <c r="H177">
        <v>2</v>
      </c>
      <c r="I177">
        <v>299.99</v>
      </c>
      <c r="J177" t="s">
        <v>34</v>
      </c>
      <c r="K177" t="s">
        <v>35</v>
      </c>
      <c r="L177" t="s">
        <v>22</v>
      </c>
      <c r="M177" s="3">
        <v>44721</v>
      </c>
      <c r="N177">
        <v>599.98</v>
      </c>
    </row>
    <row r="178" spans="1:14" x14ac:dyDescent="0.3">
      <c r="A178" t="s">
        <v>318</v>
      </c>
      <c r="B178" s="3">
        <v>45654</v>
      </c>
      <c r="C178" t="s">
        <v>42</v>
      </c>
      <c r="D178" t="s">
        <v>43</v>
      </c>
      <c r="E178" t="s">
        <v>105</v>
      </c>
      <c r="F178" t="s">
        <v>106</v>
      </c>
      <c r="G178" t="s">
        <v>46</v>
      </c>
      <c r="H178">
        <v>2</v>
      </c>
      <c r="I178">
        <v>299.99</v>
      </c>
      <c r="J178" t="s">
        <v>20</v>
      </c>
      <c r="K178" t="s">
        <v>50</v>
      </c>
      <c r="L178" t="s">
        <v>22</v>
      </c>
      <c r="M178" s="3">
        <v>44771</v>
      </c>
      <c r="N178">
        <v>599.98</v>
      </c>
    </row>
    <row r="179" spans="1:14" x14ac:dyDescent="0.3">
      <c r="A179" t="s">
        <v>319</v>
      </c>
      <c r="B179" s="3">
        <v>45654</v>
      </c>
      <c r="C179" t="s">
        <v>120</v>
      </c>
      <c r="D179" t="s">
        <v>121</v>
      </c>
      <c r="E179" t="s">
        <v>126</v>
      </c>
      <c r="F179" t="s">
        <v>127</v>
      </c>
      <c r="G179" t="s">
        <v>46</v>
      </c>
      <c r="H179">
        <v>4</v>
      </c>
      <c r="I179">
        <v>199.99</v>
      </c>
      <c r="J179" t="s">
        <v>26</v>
      </c>
      <c r="K179" t="s">
        <v>21</v>
      </c>
      <c r="L179" t="s">
        <v>22</v>
      </c>
      <c r="M179" s="3">
        <v>44523</v>
      </c>
      <c r="N179">
        <v>799.96</v>
      </c>
    </row>
    <row r="180" spans="1:14" x14ac:dyDescent="0.3">
      <c r="A180" t="s">
        <v>320</v>
      </c>
      <c r="B180" s="3">
        <v>45655</v>
      </c>
      <c r="C180" t="s">
        <v>59</v>
      </c>
      <c r="D180" t="s">
        <v>60</v>
      </c>
      <c r="E180" t="s">
        <v>117</v>
      </c>
      <c r="F180" t="s">
        <v>118</v>
      </c>
      <c r="G180" t="s">
        <v>19</v>
      </c>
      <c r="H180">
        <v>1</v>
      </c>
      <c r="I180">
        <v>89.99</v>
      </c>
      <c r="J180" t="s">
        <v>26</v>
      </c>
      <c r="K180" t="s">
        <v>35</v>
      </c>
      <c r="L180" t="s">
        <v>27</v>
      </c>
      <c r="M180" s="3">
        <v>44591</v>
      </c>
      <c r="N180">
        <v>89.99</v>
      </c>
    </row>
    <row r="181" spans="1:14" x14ac:dyDescent="0.3">
      <c r="A181" t="s">
        <v>321</v>
      </c>
      <c r="B181" s="3">
        <v>45655</v>
      </c>
      <c r="C181" t="s">
        <v>108</v>
      </c>
      <c r="D181" t="s">
        <v>109</v>
      </c>
      <c r="E181" t="s">
        <v>44</v>
      </c>
      <c r="F181" t="s">
        <v>45</v>
      </c>
      <c r="G181" t="s">
        <v>46</v>
      </c>
      <c r="H181">
        <v>5</v>
      </c>
      <c r="I181">
        <v>149.99</v>
      </c>
      <c r="J181" t="s">
        <v>20</v>
      </c>
      <c r="K181" t="s">
        <v>21</v>
      </c>
      <c r="L181" t="s">
        <v>27</v>
      </c>
      <c r="M181" s="3">
        <v>45347</v>
      </c>
      <c r="N181">
        <v>749.95</v>
      </c>
    </row>
    <row r="182" spans="1:14" x14ac:dyDescent="0.3">
      <c r="A182" t="s">
        <v>322</v>
      </c>
      <c r="B182" s="3">
        <v>45657</v>
      </c>
      <c r="C182" t="s">
        <v>86</v>
      </c>
      <c r="D182" t="s">
        <v>87</v>
      </c>
      <c r="E182" t="s">
        <v>61</v>
      </c>
      <c r="F182" t="s">
        <v>62</v>
      </c>
      <c r="G182" t="s">
        <v>19</v>
      </c>
      <c r="H182">
        <v>1</v>
      </c>
      <c r="I182">
        <v>899.99</v>
      </c>
      <c r="J182" t="s">
        <v>34</v>
      </c>
      <c r="K182" t="s">
        <v>40</v>
      </c>
      <c r="L182" t="s">
        <v>27</v>
      </c>
      <c r="M182" s="3">
        <v>45050</v>
      </c>
      <c r="N182">
        <v>899.99</v>
      </c>
    </row>
    <row r="183" spans="1:14" x14ac:dyDescent="0.3">
      <c r="A183" t="s">
        <v>323</v>
      </c>
      <c r="B183" s="3">
        <v>45660</v>
      </c>
      <c r="C183" t="s">
        <v>147</v>
      </c>
      <c r="D183" t="s">
        <v>148</v>
      </c>
      <c r="E183" t="s">
        <v>117</v>
      </c>
      <c r="F183" t="s">
        <v>118</v>
      </c>
      <c r="G183" t="s">
        <v>19</v>
      </c>
      <c r="H183">
        <v>2</v>
      </c>
      <c r="I183">
        <v>89.99</v>
      </c>
      <c r="J183" t="s">
        <v>26</v>
      </c>
      <c r="K183" t="s">
        <v>35</v>
      </c>
      <c r="L183" t="s">
        <v>27</v>
      </c>
      <c r="M183" s="3">
        <v>44564</v>
      </c>
      <c r="N183">
        <v>179.98</v>
      </c>
    </row>
    <row r="184" spans="1:14" x14ac:dyDescent="0.3">
      <c r="A184" t="s">
        <v>324</v>
      </c>
      <c r="B184" s="3">
        <v>45661</v>
      </c>
      <c r="C184" t="s">
        <v>325</v>
      </c>
      <c r="D184" t="s">
        <v>326</v>
      </c>
      <c r="E184" t="s">
        <v>61</v>
      </c>
      <c r="F184" t="s">
        <v>62</v>
      </c>
      <c r="G184" t="s">
        <v>19</v>
      </c>
      <c r="H184">
        <v>1</v>
      </c>
      <c r="I184">
        <v>899.99</v>
      </c>
      <c r="J184" t="s">
        <v>34</v>
      </c>
      <c r="K184" t="s">
        <v>40</v>
      </c>
      <c r="L184" t="s">
        <v>36</v>
      </c>
      <c r="M184" s="3">
        <v>44752</v>
      </c>
      <c r="N184">
        <v>899.99</v>
      </c>
    </row>
    <row r="185" spans="1:14" x14ac:dyDescent="0.3">
      <c r="A185" t="s">
        <v>327</v>
      </c>
      <c r="B185" s="3">
        <v>45663</v>
      </c>
      <c r="C185" t="s">
        <v>129</v>
      </c>
      <c r="D185" t="s">
        <v>130</v>
      </c>
      <c r="E185" t="s">
        <v>52</v>
      </c>
      <c r="F185" t="s">
        <v>53</v>
      </c>
      <c r="G185" t="s">
        <v>19</v>
      </c>
      <c r="H185">
        <v>5</v>
      </c>
      <c r="I185">
        <v>149.99</v>
      </c>
      <c r="J185" t="s">
        <v>34</v>
      </c>
      <c r="K185" t="s">
        <v>63</v>
      </c>
      <c r="L185" t="s">
        <v>27</v>
      </c>
      <c r="M185" s="3">
        <v>44824</v>
      </c>
      <c r="N185">
        <v>749.95</v>
      </c>
    </row>
    <row r="186" spans="1:14" x14ac:dyDescent="0.3">
      <c r="A186" t="s">
        <v>328</v>
      </c>
      <c r="B186" s="3">
        <v>45663</v>
      </c>
      <c r="C186" t="s">
        <v>42</v>
      </c>
      <c r="D186" t="s">
        <v>43</v>
      </c>
      <c r="E186" t="s">
        <v>105</v>
      </c>
      <c r="F186" t="s">
        <v>106</v>
      </c>
      <c r="G186" t="s">
        <v>46</v>
      </c>
      <c r="H186">
        <v>3</v>
      </c>
      <c r="I186">
        <v>299.99</v>
      </c>
      <c r="J186" t="s">
        <v>20</v>
      </c>
      <c r="K186" t="s">
        <v>35</v>
      </c>
      <c r="L186" t="s">
        <v>36</v>
      </c>
      <c r="M186" s="3">
        <v>44422</v>
      </c>
      <c r="N186">
        <v>899.97</v>
      </c>
    </row>
    <row r="187" spans="1:14" x14ac:dyDescent="0.3">
      <c r="A187" t="s">
        <v>329</v>
      </c>
      <c r="B187" s="3">
        <v>45666</v>
      </c>
      <c r="C187" t="s">
        <v>65</v>
      </c>
      <c r="D187" t="s">
        <v>66</v>
      </c>
      <c r="E187" t="s">
        <v>80</v>
      </c>
      <c r="F187" t="s">
        <v>81</v>
      </c>
      <c r="G187" t="s">
        <v>19</v>
      </c>
      <c r="H187">
        <v>3</v>
      </c>
      <c r="I187">
        <v>699.99</v>
      </c>
      <c r="J187" t="s">
        <v>26</v>
      </c>
      <c r="K187" t="s">
        <v>21</v>
      </c>
      <c r="L187" t="s">
        <v>27</v>
      </c>
      <c r="M187" s="3">
        <v>45105</v>
      </c>
      <c r="N187">
        <v>2099.9699999999998</v>
      </c>
    </row>
    <row r="188" spans="1:14" x14ac:dyDescent="0.3">
      <c r="A188" t="s">
        <v>330</v>
      </c>
      <c r="B188" s="3">
        <v>45667</v>
      </c>
      <c r="C188" t="s">
        <v>108</v>
      </c>
      <c r="D188" t="s">
        <v>109</v>
      </c>
      <c r="E188" t="s">
        <v>126</v>
      </c>
      <c r="F188" t="s">
        <v>127</v>
      </c>
      <c r="G188" t="s">
        <v>46</v>
      </c>
      <c r="H188">
        <v>5</v>
      </c>
      <c r="I188">
        <v>199.99</v>
      </c>
      <c r="J188" t="s">
        <v>34</v>
      </c>
      <c r="K188" t="s">
        <v>21</v>
      </c>
      <c r="L188" t="s">
        <v>36</v>
      </c>
      <c r="M188" s="3">
        <v>44633</v>
      </c>
      <c r="N188">
        <v>999.95</v>
      </c>
    </row>
    <row r="189" spans="1:14" x14ac:dyDescent="0.3">
      <c r="A189" t="s">
        <v>331</v>
      </c>
      <c r="B189" s="3">
        <v>45667</v>
      </c>
      <c r="C189" t="s">
        <v>93</v>
      </c>
      <c r="D189" t="s">
        <v>94</v>
      </c>
      <c r="E189" t="s">
        <v>17</v>
      </c>
      <c r="F189" t="s">
        <v>18</v>
      </c>
      <c r="G189" t="s">
        <v>19</v>
      </c>
      <c r="H189">
        <v>5</v>
      </c>
      <c r="I189">
        <v>249.99</v>
      </c>
      <c r="J189" t="s">
        <v>26</v>
      </c>
      <c r="K189" t="s">
        <v>35</v>
      </c>
      <c r="L189" t="s">
        <v>22</v>
      </c>
      <c r="M189" s="3">
        <v>45330</v>
      </c>
      <c r="N189">
        <v>1249.95</v>
      </c>
    </row>
    <row r="190" spans="1:14" x14ac:dyDescent="0.3">
      <c r="A190" t="s">
        <v>332</v>
      </c>
      <c r="B190" s="3">
        <v>45668</v>
      </c>
      <c r="C190" t="s">
        <v>138</v>
      </c>
      <c r="D190" t="s">
        <v>139</v>
      </c>
      <c r="E190" t="s">
        <v>52</v>
      </c>
      <c r="F190" t="s">
        <v>53</v>
      </c>
      <c r="G190" t="s">
        <v>19</v>
      </c>
      <c r="H190">
        <v>4</v>
      </c>
      <c r="I190">
        <v>149.99</v>
      </c>
      <c r="J190" t="s">
        <v>57</v>
      </c>
      <c r="K190" t="s">
        <v>63</v>
      </c>
      <c r="L190" t="s">
        <v>36</v>
      </c>
      <c r="M190" s="3">
        <v>44536</v>
      </c>
      <c r="N190">
        <v>599.96</v>
      </c>
    </row>
    <row r="191" spans="1:14" x14ac:dyDescent="0.3">
      <c r="A191" t="s">
        <v>333</v>
      </c>
      <c r="B191" s="3">
        <v>45668</v>
      </c>
      <c r="C191" t="s">
        <v>78</v>
      </c>
      <c r="D191" t="s">
        <v>79</v>
      </c>
      <c r="E191" t="s">
        <v>80</v>
      </c>
      <c r="F191" t="s">
        <v>81</v>
      </c>
      <c r="G191" t="s">
        <v>19</v>
      </c>
      <c r="H191">
        <v>3</v>
      </c>
      <c r="I191">
        <v>699.99</v>
      </c>
      <c r="J191" t="s">
        <v>20</v>
      </c>
      <c r="K191" t="s">
        <v>40</v>
      </c>
      <c r="L191" t="s">
        <v>27</v>
      </c>
      <c r="M191" s="3">
        <v>44602</v>
      </c>
      <c r="N191">
        <v>2099.9699999999998</v>
      </c>
    </row>
    <row r="192" spans="1:14" x14ac:dyDescent="0.3">
      <c r="A192" t="s">
        <v>334</v>
      </c>
      <c r="B192" s="3">
        <v>45670</v>
      </c>
      <c r="C192" t="s">
        <v>293</v>
      </c>
      <c r="D192" t="s">
        <v>294</v>
      </c>
      <c r="E192" t="s">
        <v>114</v>
      </c>
      <c r="F192" t="s">
        <v>115</v>
      </c>
      <c r="G192" t="s">
        <v>33</v>
      </c>
      <c r="H192">
        <v>1</v>
      </c>
      <c r="I192">
        <v>79.989999999999995</v>
      </c>
      <c r="J192" t="s">
        <v>26</v>
      </c>
      <c r="K192" t="s">
        <v>35</v>
      </c>
      <c r="L192" t="s">
        <v>22</v>
      </c>
      <c r="M192" s="3">
        <v>45322</v>
      </c>
      <c r="N192">
        <v>79.989999999999995</v>
      </c>
    </row>
    <row r="193" spans="1:14" x14ac:dyDescent="0.3">
      <c r="A193" t="s">
        <v>335</v>
      </c>
      <c r="B193" s="3">
        <v>45670</v>
      </c>
      <c r="C193" t="s">
        <v>86</v>
      </c>
      <c r="D193" t="s">
        <v>87</v>
      </c>
      <c r="E193" t="s">
        <v>105</v>
      </c>
      <c r="F193" t="s">
        <v>106</v>
      </c>
      <c r="G193" t="s">
        <v>46</v>
      </c>
      <c r="H193">
        <v>1</v>
      </c>
      <c r="I193">
        <v>299.99</v>
      </c>
      <c r="J193" t="s">
        <v>26</v>
      </c>
      <c r="K193" t="s">
        <v>40</v>
      </c>
      <c r="L193" t="s">
        <v>22</v>
      </c>
      <c r="M193" s="3">
        <v>44436</v>
      </c>
      <c r="N193">
        <v>299.99</v>
      </c>
    </row>
    <row r="194" spans="1:14" x14ac:dyDescent="0.3">
      <c r="A194" t="s">
        <v>336</v>
      </c>
      <c r="B194" s="3">
        <v>45671</v>
      </c>
      <c r="C194" t="s">
        <v>158</v>
      </c>
      <c r="D194" t="s">
        <v>159</v>
      </c>
      <c r="E194" t="s">
        <v>17</v>
      </c>
      <c r="F194" t="s">
        <v>18</v>
      </c>
      <c r="G194" t="s">
        <v>19</v>
      </c>
      <c r="H194">
        <v>4</v>
      </c>
      <c r="I194">
        <v>249.99</v>
      </c>
      <c r="J194" t="s">
        <v>26</v>
      </c>
      <c r="K194" t="s">
        <v>40</v>
      </c>
      <c r="L194" t="s">
        <v>27</v>
      </c>
      <c r="M194" s="3">
        <v>44460</v>
      </c>
      <c r="N194">
        <v>999.96</v>
      </c>
    </row>
    <row r="195" spans="1:14" x14ac:dyDescent="0.3">
      <c r="A195" t="s">
        <v>337</v>
      </c>
      <c r="B195" s="3">
        <v>45671</v>
      </c>
      <c r="C195" t="s">
        <v>120</v>
      </c>
      <c r="D195" t="s">
        <v>121</v>
      </c>
      <c r="E195" t="s">
        <v>52</v>
      </c>
      <c r="F195" t="s">
        <v>53</v>
      </c>
      <c r="G195" t="s">
        <v>19</v>
      </c>
      <c r="H195">
        <v>2</v>
      </c>
      <c r="I195">
        <v>149.99</v>
      </c>
      <c r="J195" t="s">
        <v>20</v>
      </c>
      <c r="K195" t="s">
        <v>40</v>
      </c>
      <c r="L195" t="s">
        <v>36</v>
      </c>
      <c r="M195" s="3">
        <v>44913</v>
      </c>
      <c r="N195">
        <v>299.98</v>
      </c>
    </row>
    <row r="196" spans="1:14" x14ac:dyDescent="0.3">
      <c r="A196" t="s">
        <v>338</v>
      </c>
      <c r="B196" s="3">
        <v>45671</v>
      </c>
      <c r="C196" t="s">
        <v>234</v>
      </c>
      <c r="D196" t="s">
        <v>235</v>
      </c>
      <c r="E196" t="s">
        <v>105</v>
      </c>
      <c r="F196" t="s">
        <v>106</v>
      </c>
      <c r="G196" t="s">
        <v>46</v>
      </c>
      <c r="H196">
        <v>3</v>
      </c>
      <c r="I196">
        <v>299.99</v>
      </c>
      <c r="J196" t="s">
        <v>26</v>
      </c>
      <c r="K196" t="s">
        <v>35</v>
      </c>
      <c r="L196" t="s">
        <v>22</v>
      </c>
      <c r="M196" s="3">
        <v>45204</v>
      </c>
      <c r="N196">
        <v>899.97</v>
      </c>
    </row>
    <row r="197" spans="1:14" x14ac:dyDescent="0.3">
      <c r="A197" t="s">
        <v>339</v>
      </c>
      <c r="B197" s="3">
        <v>45673</v>
      </c>
      <c r="C197" t="s">
        <v>226</v>
      </c>
      <c r="D197" t="s">
        <v>227</v>
      </c>
      <c r="E197" t="s">
        <v>126</v>
      </c>
      <c r="F197" t="s">
        <v>127</v>
      </c>
      <c r="G197" t="s">
        <v>46</v>
      </c>
      <c r="H197">
        <v>4</v>
      </c>
      <c r="I197">
        <v>199.99</v>
      </c>
      <c r="J197" t="s">
        <v>57</v>
      </c>
      <c r="K197" t="s">
        <v>35</v>
      </c>
      <c r="L197" t="s">
        <v>36</v>
      </c>
      <c r="M197" s="3">
        <v>44544</v>
      </c>
      <c r="N197">
        <v>799.96</v>
      </c>
    </row>
    <row r="198" spans="1:14" x14ac:dyDescent="0.3">
      <c r="A198" t="s">
        <v>340</v>
      </c>
      <c r="B198" s="3">
        <v>45673</v>
      </c>
      <c r="C198" t="s">
        <v>211</v>
      </c>
      <c r="D198" t="s">
        <v>212</v>
      </c>
      <c r="E198" t="s">
        <v>105</v>
      </c>
      <c r="F198" t="s">
        <v>106</v>
      </c>
      <c r="G198" t="s">
        <v>46</v>
      </c>
      <c r="H198">
        <v>5</v>
      </c>
      <c r="I198">
        <v>299.99</v>
      </c>
      <c r="J198" t="s">
        <v>57</v>
      </c>
      <c r="K198" t="s">
        <v>21</v>
      </c>
      <c r="L198" t="s">
        <v>22</v>
      </c>
      <c r="M198" s="3">
        <v>44431</v>
      </c>
      <c r="N198">
        <v>1499.95</v>
      </c>
    </row>
    <row r="199" spans="1:14" x14ac:dyDescent="0.3">
      <c r="A199" t="s">
        <v>341</v>
      </c>
      <c r="B199" s="3">
        <v>45673</v>
      </c>
      <c r="C199" t="s">
        <v>59</v>
      </c>
      <c r="D199" t="s">
        <v>60</v>
      </c>
      <c r="E199" t="s">
        <v>44</v>
      </c>
      <c r="F199" t="s">
        <v>45</v>
      </c>
      <c r="G199" t="s">
        <v>46</v>
      </c>
      <c r="H199">
        <v>3</v>
      </c>
      <c r="I199">
        <v>149.99</v>
      </c>
      <c r="J199" t="s">
        <v>26</v>
      </c>
      <c r="K199" t="s">
        <v>63</v>
      </c>
      <c r="L199" t="s">
        <v>36</v>
      </c>
      <c r="M199" s="3">
        <v>44395</v>
      </c>
      <c r="N199">
        <v>449.97</v>
      </c>
    </row>
    <row r="200" spans="1:14" x14ac:dyDescent="0.3">
      <c r="A200" t="s">
        <v>342</v>
      </c>
      <c r="B200" s="3">
        <v>45676</v>
      </c>
      <c r="C200" t="s">
        <v>129</v>
      </c>
      <c r="D200" t="s">
        <v>130</v>
      </c>
      <c r="E200" t="s">
        <v>31</v>
      </c>
      <c r="F200" t="s">
        <v>32</v>
      </c>
      <c r="G200" t="s">
        <v>33</v>
      </c>
      <c r="H200">
        <v>5</v>
      </c>
      <c r="I200">
        <v>59.99</v>
      </c>
      <c r="J200" t="s">
        <v>57</v>
      </c>
      <c r="K200" t="s">
        <v>63</v>
      </c>
      <c r="L200" t="s">
        <v>22</v>
      </c>
      <c r="M200" s="3">
        <v>44642</v>
      </c>
      <c r="N200">
        <v>299.95</v>
      </c>
    </row>
    <row r="201" spans="1:14" x14ac:dyDescent="0.3">
      <c r="A201" t="s">
        <v>343</v>
      </c>
      <c r="B201" s="3">
        <v>45682</v>
      </c>
      <c r="C201" t="s">
        <v>68</v>
      </c>
      <c r="D201" t="s">
        <v>69</v>
      </c>
      <c r="E201" t="s">
        <v>31</v>
      </c>
      <c r="F201" t="s">
        <v>32</v>
      </c>
      <c r="G201" t="s">
        <v>33</v>
      </c>
      <c r="H201">
        <v>4</v>
      </c>
      <c r="I201">
        <v>59.99</v>
      </c>
      <c r="J201" t="s">
        <v>57</v>
      </c>
      <c r="K201" t="s">
        <v>63</v>
      </c>
      <c r="L201" t="s">
        <v>36</v>
      </c>
      <c r="M201" s="3">
        <v>44564</v>
      </c>
      <c r="N201">
        <v>239.96</v>
      </c>
    </row>
    <row r="202" spans="1:14" x14ac:dyDescent="0.3">
      <c r="A202" t="s">
        <v>344</v>
      </c>
      <c r="B202" s="3">
        <v>45683</v>
      </c>
      <c r="C202" t="s">
        <v>48</v>
      </c>
      <c r="D202" t="s">
        <v>49</v>
      </c>
      <c r="E202" t="s">
        <v>17</v>
      </c>
      <c r="F202" t="s">
        <v>18</v>
      </c>
      <c r="G202" t="s">
        <v>19</v>
      </c>
      <c r="H202">
        <v>4</v>
      </c>
      <c r="I202">
        <v>249.99</v>
      </c>
      <c r="J202" t="s">
        <v>57</v>
      </c>
      <c r="K202" t="s">
        <v>21</v>
      </c>
      <c r="L202" t="s">
        <v>27</v>
      </c>
      <c r="M202" s="3">
        <v>45217</v>
      </c>
      <c r="N202">
        <v>999.96</v>
      </c>
    </row>
    <row r="203" spans="1:14" x14ac:dyDescent="0.3">
      <c r="A203" t="s">
        <v>345</v>
      </c>
      <c r="B203" s="3">
        <v>45686</v>
      </c>
      <c r="C203" t="s">
        <v>252</v>
      </c>
      <c r="D203" t="s">
        <v>253</v>
      </c>
      <c r="E203" t="s">
        <v>61</v>
      </c>
      <c r="F203" t="s">
        <v>62</v>
      </c>
      <c r="G203" t="s">
        <v>19</v>
      </c>
      <c r="H203">
        <v>4</v>
      </c>
      <c r="I203">
        <v>899.99</v>
      </c>
      <c r="J203" t="s">
        <v>34</v>
      </c>
      <c r="K203" t="s">
        <v>21</v>
      </c>
      <c r="L203" t="s">
        <v>22</v>
      </c>
      <c r="M203" s="3">
        <v>44734</v>
      </c>
      <c r="N203">
        <v>3599.96</v>
      </c>
    </row>
    <row r="204" spans="1:14" x14ac:dyDescent="0.3">
      <c r="A204" t="s">
        <v>346</v>
      </c>
      <c r="B204" s="3">
        <v>45686</v>
      </c>
      <c r="C204" t="s">
        <v>86</v>
      </c>
      <c r="D204" t="s">
        <v>87</v>
      </c>
      <c r="E204" t="s">
        <v>105</v>
      </c>
      <c r="F204" t="s">
        <v>106</v>
      </c>
      <c r="G204" t="s">
        <v>46</v>
      </c>
      <c r="H204">
        <v>3</v>
      </c>
      <c r="I204">
        <v>299.99</v>
      </c>
      <c r="J204" t="s">
        <v>57</v>
      </c>
      <c r="K204" t="s">
        <v>50</v>
      </c>
      <c r="L204" t="s">
        <v>36</v>
      </c>
      <c r="M204" s="3">
        <v>44952</v>
      </c>
      <c r="N204">
        <v>899.97</v>
      </c>
    </row>
    <row r="205" spans="1:14" x14ac:dyDescent="0.3">
      <c r="A205" t="s">
        <v>347</v>
      </c>
      <c r="B205" s="3">
        <v>45686</v>
      </c>
      <c r="C205" t="s">
        <v>293</v>
      </c>
      <c r="D205" t="s">
        <v>294</v>
      </c>
      <c r="E205" t="s">
        <v>80</v>
      </c>
      <c r="F205" t="s">
        <v>81</v>
      </c>
      <c r="G205" t="s">
        <v>19</v>
      </c>
      <c r="H205">
        <v>2</v>
      </c>
      <c r="I205">
        <v>699.99</v>
      </c>
      <c r="J205" t="s">
        <v>57</v>
      </c>
      <c r="K205" t="s">
        <v>21</v>
      </c>
      <c r="L205" t="s">
        <v>27</v>
      </c>
      <c r="M205" s="3">
        <v>44681</v>
      </c>
      <c r="N205">
        <v>1399.98</v>
      </c>
    </row>
    <row r="206" spans="1:14" x14ac:dyDescent="0.3">
      <c r="A206" t="s">
        <v>348</v>
      </c>
      <c r="B206" s="3">
        <v>45688</v>
      </c>
      <c r="C206" t="s">
        <v>65</v>
      </c>
      <c r="D206" t="s">
        <v>66</v>
      </c>
      <c r="E206" t="s">
        <v>80</v>
      </c>
      <c r="F206" t="s">
        <v>81</v>
      </c>
      <c r="G206" t="s">
        <v>19</v>
      </c>
      <c r="H206">
        <v>4</v>
      </c>
      <c r="I206">
        <v>699.99</v>
      </c>
      <c r="J206" t="s">
        <v>57</v>
      </c>
      <c r="K206" t="s">
        <v>50</v>
      </c>
      <c r="L206" t="s">
        <v>27</v>
      </c>
      <c r="M206" s="3">
        <v>44692</v>
      </c>
      <c r="N206">
        <v>2799.96</v>
      </c>
    </row>
    <row r="207" spans="1:14" x14ac:dyDescent="0.3">
      <c r="A207" t="s">
        <v>349</v>
      </c>
      <c r="B207" s="3">
        <v>45688</v>
      </c>
      <c r="C207" t="s">
        <v>123</v>
      </c>
      <c r="D207" t="s">
        <v>124</v>
      </c>
      <c r="E207" t="s">
        <v>117</v>
      </c>
      <c r="F207" t="s">
        <v>118</v>
      </c>
      <c r="G207" t="s">
        <v>19</v>
      </c>
      <c r="H207">
        <v>2</v>
      </c>
      <c r="I207">
        <v>89.99</v>
      </c>
      <c r="J207" t="s">
        <v>57</v>
      </c>
      <c r="K207" t="s">
        <v>35</v>
      </c>
      <c r="L207" t="s">
        <v>22</v>
      </c>
      <c r="M207" s="3">
        <v>44777</v>
      </c>
      <c r="N207">
        <v>179.98</v>
      </c>
    </row>
    <row r="208" spans="1:14" x14ac:dyDescent="0.3">
      <c r="A208" t="s">
        <v>350</v>
      </c>
      <c r="B208" s="3">
        <v>45688</v>
      </c>
      <c r="C208" t="s">
        <v>42</v>
      </c>
      <c r="D208" t="s">
        <v>43</v>
      </c>
      <c r="E208" t="s">
        <v>117</v>
      </c>
      <c r="F208" t="s">
        <v>118</v>
      </c>
      <c r="G208" t="s">
        <v>19</v>
      </c>
      <c r="H208">
        <v>3</v>
      </c>
      <c r="I208">
        <v>89.99</v>
      </c>
      <c r="J208" t="s">
        <v>57</v>
      </c>
      <c r="K208" t="s">
        <v>35</v>
      </c>
      <c r="L208" t="s">
        <v>27</v>
      </c>
      <c r="M208" s="3">
        <v>45307</v>
      </c>
      <c r="N208">
        <v>269.97000000000003</v>
      </c>
    </row>
    <row r="209" spans="1:14" x14ac:dyDescent="0.3">
      <c r="A209" t="s">
        <v>351</v>
      </c>
      <c r="B209" s="3">
        <v>45692</v>
      </c>
      <c r="C209" t="s">
        <v>325</v>
      </c>
      <c r="D209" t="s">
        <v>326</v>
      </c>
      <c r="E209" t="s">
        <v>31</v>
      </c>
      <c r="F209" t="s">
        <v>32</v>
      </c>
      <c r="G209" t="s">
        <v>33</v>
      </c>
      <c r="H209">
        <v>1</v>
      </c>
      <c r="I209">
        <v>59.99</v>
      </c>
      <c r="J209" t="s">
        <v>57</v>
      </c>
      <c r="K209" t="s">
        <v>21</v>
      </c>
      <c r="L209" t="s">
        <v>36</v>
      </c>
      <c r="M209" s="3">
        <v>45045</v>
      </c>
      <c r="N209">
        <v>59.99</v>
      </c>
    </row>
    <row r="210" spans="1:14" x14ac:dyDescent="0.3">
      <c r="A210" t="s">
        <v>352</v>
      </c>
      <c r="B210" s="3">
        <v>45695</v>
      </c>
      <c r="C210" t="s">
        <v>246</v>
      </c>
      <c r="D210" t="s">
        <v>247</v>
      </c>
      <c r="E210" t="s">
        <v>44</v>
      </c>
      <c r="F210" t="s">
        <v>45</v>
      </c>
      <c r="G210" t="s">
        <v>46</v>
      </c>
      <c r="H210">
        <v>3</v>
      </c>
      <c r="I210">
        <v>149.99</v>
      </c>
      <c r="J210" t="s">
        <v>57</v>
      </c>
      <c r="K210" t="s">
        <v>40</v>
      </c>
      <c r="L210" t="s">
        <v>27</v>
      </c>
      <c r="M210" s="3">
        <v>44564</v>
      </c>
      <c r="N210">
        <v>449.97</v>
      </c>
    </row>
    <row r="211" spans="1:14" x14ac:dyDescent="0.3">
      <c r="A211" t="s">
        <v>353</v>
      </c>
      <c r="B211" s="3">
        <v>45695</v>
      </c>
      <c r="C211" t="s">
        <v>93</v>
      </c>
      <c r="D211" t="s">
        <v>94</v>
      </c>
      <c r="E211" t="s">
        <v>105</v>
      </c>
      <c r="F211" t="s">
        <v>106</v>
      </c>
      <c r="G211" t="s">
        <v>46</v>
      </c>
      <c r="H211">
        <v>5</v>
      </c>
      <c r="I211">
        <v>299.99</v>
      </c>
      <c r="J211" t="s">
        <v>26</v>
      </c>
      <c r="K211" t="s">
        <v>35</v>
      </c>
      <c r="L211" t="s">
        <v>22</v>
      </c>
      <c r="M211" s="3">
        <v>44959</v>
      </c>
      <c r="N211">
        <v>1499.95</v>
      </c>
    </row>
    <row r="212" spans="1:14" x14ac:dyDescent="0.3">
      <c r="A212" t="s">
        <v>354</v>
      </c>
      <c r="B212" s="3">
        <v>45696</v>
      </c>
      <c r="C212" t="s">
        <v>150</v>
      </c>
      <c r="D212" t="s">
        <v>151</v>
      </c>
      <c r="E212" t="s">
        <v>31</v>
      </c>
      <c r="F212" t="s">
        <v>32</v>
      </c>
      <c r="G212" t="s">
        <v>33</v>
      </c>
      <c r="H212">
        <v>5</v>
      </c>
      <c r="I212">
        <v>59.99</v>
      </c>
      <c r="J212" t="s">
        <v>57</v>
      </c>
      <c r="K212" t="s">
        <v>21</v>
      </c>
      <c r="L212" t="s">
        <v>36</v>
      </c>
      <c r="M212" s="3">
        <v>45177</v>
      </c>
      <c r="N212">
        <v>299.95</v>
      </c>
    </row>
    <row r="213" spans="1:14" x14ac:dyDescent="0.3">
      <c r="A213" t="s">
        <v>355</v>
      </c>
      <c r="B213" s="3">
        <v>45701</v>
      </c>
      <c r="C213" t="s">
        <v>108</v>
      </c>
      <c r="D213" t="s">
        <v>109</v>
      </c>
      <c r="E213" t="s">
        <v>114</v>
      </c>
      <c r="F213" t="s">
        <v>115</v>
      </c>
      <c r="G213" t="s">
        <v>33</v>
      </c>
      <c r="H213">
        <v>3</v>
      </c>
      <c r="I213">
        <v>79.989999999999995</v>
      </c>
      <c r="J213" t="s">
        <v>20</v>
      </c>
      <c r="K213" t="s">
        <v>63</v>
      </c>
      <c r="L213" t="s">
        <v>27</v>
      </c>
      <c r="M213" s="3">
        <v>44436</v>
      </c>
      <c r="N213">
        <v>239.97</v>
      </c>
    </row>
    <row r="214" spans="1:14" x14ac:dyDescent="0.3">
      <c r="A214" t="s">
        <v>356</v>
      </c>
      <c r="B214" s="3">
        <v>45704</v>
      </c>
      <c r="C214" t="s">
        <v>29</v>
      </c>
      <c r="D214" t="s">
        <v>30</v>
      </c>
      <c r="E214" t="s">
        <v>126</v>
      </c>
      <c r="F214" t="s">
        <v>127</v>
      </c>
      <c r="G214" t="s">
        <v>46</v>
      </c>
      <c r="H214">
        <v>3</v>
      </c>
      <c r="I214">
        <v>199.99</v>
      </c>
      <c r="J214" t="s">
        <v>20</v>
      </c>
      <c r="K214" t="s">
        <v>21</v>
      </c>
      <c r="L214" t="s">
        <v>22</v>
      </c>
      <c r="M214" s="3">
        <v>44735</v>
      </c>
      <c r="N214">
        <v>599.97</v>
      </c>
    </row>
    <row r="215" spans="1:14" x14ac:dyDescent="0.3">
      <c r="A215" t="s">
        <v>357</v>
      </c>
      <c r="B215" s="3">
        <v>45704</v>
      </c>
      <c r="C215" t="s">
        <v>15</v>
      </c>
      <c r="D215" t="s">
        <v>16</v>
      </c>
      <c r="E215" t="s">
        <v>117</v>
      </c>
      <c r="F215" t="s">
        <v>118</v>
      </c>
      <c r="G215" t="s">
        <v>19</v>
      </c>
      <c r="H215">
        <v>2</v>
      </c>
      <c r="I215">
        <v>89.99</v>
      </c>
      <c r="J215" t="s">
        <v>34</v>
      </c>
      <c r="K215" t="s">
        <v>21</v>
      </c>
      <c r="L215" t="s">
        <v>22</v>
      </c>
      <c r="M215" s="3">
        <v>45257</v>
      </c>
      <c r="N215">
        <v>179.98</v>
      </c>
    </row>
    <row r="216" spans="1:14" x14ac:dyDescent="0.3">
      <c r="A216" t="s">
        <v>358</v>
      </c>
      <c r="B216" s="3">
        <v>45705</v>
      </c>
      <c r="C216" t="s">
        <v>259</v>
      </c>
      <c r="D216" t="s">
        <v>260</v>
      </c>
      <c r="E216" t="s">
        <v>44</v>
      </c>
      <c r="F216" t="s">
        <v>45</v>
      </c>
      <c r="G216" t="s">
        <v>46</v>
      </c>
      <c r="H216">
        <v>2</v>
      </c>
      <c r="I216">
        <v>149.99</v>
      </c>
      <c r="J216" t="s">
        <v>20</v>
      </c>
      <c r="K216" t="s">
        <v>35</v>
      </c>
      <c r="L216" t="s">
        <v>27</v>
      </c>
      <c r="M216" s="3">
        <v>44728</v>
      </c>
      <c r="N216">
        <v>299.98</v>
      </c>
    </row>
    <row r="217" spans="1:14" x14ac:dyDescent="0.3">
      <c r="A217" t="s">
        <v>359</v>
      </c>
      <c r="B217" s="3">
        <v>45707</v>
      </c>
      <c r="C217" t="s">
        <v>123</v>
      </c>
      <c r="D217" t="s">
        <v>124</v>
      </c>
      <c r="E217" t="s">
        <v>80</v>
      </c>
      <c r="F217" t="s">
        <v>81</v>
      </c>
      <c r="G217" t="s">
        <v>19</v>
      </c>
      <c r="H217">
        <v>5</v>
      </c>
      <c r="I217">
        <v>699.99</v>
      </c>
      <c r="J217" t="s">
        <v>34</v>
      </c>
      <c r="K217" t="s">
        <v>35</v>
      </c>
      <c r="L217" t="s">
        <v>27</v>
      </c>
      <c r="M217" s="3">
        <v>45352</v>
      </c>
      <c r="N217">
        <v>3499.95</v>
      </c>
    </row>
    <row r="218" spans="1:14" x14ac:dyDescent="0.3">
      <c r="A218" t="s">
        <v>360</v>
      </c>
      <c r="B218" s="3">
        <v>45707</v>
      </c>
      <c r="C218" t="s">
        <v>42</v>
      </c>
      <c r="D218" t="s">
        <v>43</v>
      </c>
      <c r="E218" t="s">
        <v>44</v>
      </c>
      <c r="F218" t="s">
        <v>45</v>
      </c>
      <c r="G218" t="s">
        <v>46</v>
      </c>
      <c r="H218">
        <v>3</v>
      </c>
      <c r="I218">
        <v>149.99</v>
      </c>
      <c r="J218" t="s">
        <v>34</v>
      </c>
      <c r="K218" t="s">
        <v>21</v>
      </c>
      <c r="L218" t="s">
        <v>36</v>
      </c>
      <c r="M218" s="3">
        <v>44633</v>
      </c>
      <c r="N218">
        <v>449.97</v>
      </c>
    </row>
    <row r="219" spans="1:14" x14ac:dyDescent="0.3">
      <c r="A219" t="s">
        <v>361</v>
      </c>
      <c r="B219" s="3">
        <v>45708</v>
      </c>
      <c r="C219" t="s">
        <v>96</v>
      </c>
      <c r="D219" t="s">
        <v>97</v>
      </c>
      <c r="E219" t="s">
        <v>61</v>
      </c>
      <c r="F219" t="s">
        <v>62</v>
      </c>
      <c r="G219" t="s">
        <v>19</v>
      </c>
      <c r="H219">
        <v>3</v>
      </c>
      <c r="I219">
        <v>899.99</v>
      </c>
      <c r="J219" t="s">
        <v>20</v>
      </c>
      <c r="K219" t="s">
        <v>63</v>
      </c>
      <c r="L219" t="s">
        <v>36</v>
      </c>
      <c r="M219" s="3">
        <v>44613</v>
      </c>
      <c r="N219">
        <v>2699.97</v>
      </c>
    </row>
    <row r="220" spans="1:14" x14ac:dyDescent="0.3">
      <c r="A220" t="s">
        <v>362</v>
      </c>
      <c r="B220" s="3">
        <v>45708</v>
      </c>
      <c r="C220" t="s">
        <v>192</v>
      </c>
      <c r="D220" t="s">
        <v>193</v>
      </c>
      <c r="E220" t="s">
        <v>126</v>
      </c>
      <c r="F220" t="s">
        <v>127</v>
      </c>
      <c r="G220" t="s">
        <v>46</v>
      </c>
      <c r="H220">
        <v>3</v>
      </c>
      <c r="I220">
        <v>199.99</v>
      </c>
      <c r="J220" t="s">
        <v>20</v>
      </c>
      <c r="K220" t="s">
        <v>50</v>
      </c>
      <c r="L220" t="s">
        <v>27</v>
      </c>
      <c r="M220" s="3">
        <v>44823</v>
      </c>
      <c r="N220">
        <v>599.97</v>
      </c>
    </row>
    <row r="221" spans="1:14" x14ac:dyDescent="0.3">
      <c r="A221" t="s">
        <v>363</v>
      </c>
      <c r="B221" s="3">
        <v>45710</v>
      </c>
      <c r="C221" t="s">
        <v>55</v>
      </c>
      <c r="D221" t="s">
        <v>56</v>
      </c>
      <c r="E221" t="s">
        <v>105</v>
      </c>
      <c r="F221" t="s">
        <v>106</v>
      </c>
      <c r="G221" t="s">
        <v>46</v>
      </c>
      <c r="H221">
        <v>5</v>
      </c>
      <c r="I221">
        <v>299.99</v>
      </c>
      <c r="J221" t="s">
        <v>20</v>
      </c>
      <c r="K221" t="s">
        <v>50</v>
      </c>
      <c r="L221" t="s">
        <v>36</v>
      </c>
      <c r="M221" s="3">
        <v>45142</v>
      </c>
      <c r="N221">
        <v>1499.95</v>
      </c>
    </row>
    <row r="222" spans="1:14" x14ac:dyDescent="0.3">
      <c r="A222" t="s">
        <v>364</v>
      </c>
      <c r="B222" s="3">
        <v>45710</v>
      </c>
      <c r="C222" t="s">
        <v>150</v>
      </c>
      <c r="D222" t="s">
        <v>151</v>
      </c>
      <c r="E222" t="s">
        <v>80</v>
      </c>
      <c r="F222" t="s">
        <v>81</v>
      </c>
      <c r="G222" t="s">
        <v>19</v>
      </c>
      <c r="H222">
        <v>1</v>
      </c>
      <c r="I222">
        <v>699.99</v>
      </c>
      <c r="J222" t="s">
        <v>34</v>
      </c>
      <c r="K222" t="s">
        <v>50</v>
      </c>
      <c r="L222" t="s">
        <v>22</v>
      </c>
      <c r="M222" s="3">
        <v>44934</v>
      </c>
      <c r="N222">
        <v>699.99</v>
      </c>
    </row>
    <row r="223" spans="1:14" x14ac:dyDescent="0.3">
      <c r="A223" t="s">
        <v>365</v>
      </c>
      <c r="B223" s="3">
        <v>45711</v>
      </c>
      <c r="C223" t="s">
        <v>246</v>
      </c>
      <c r="D223" t="s">
        <v>247</v>
      </c>
      <c r="E223" t="s">
        <v>80</v>
      </c>
      <c r="F223" t="s">
        <v>81</v>
      </c>
      <c r="G223" t="s">
        <v>19</v>
      </c>
      <c r="H223">
        <v>1</v>
      </c>
      <c r="I223">
        <v>699.99</v>
      </c>
      <c r="J223" t="s">
        <v>20</v>
      </c>
      <c r="K223" t="s">
        <v>40</v>
      </c>
      <c r="L223" t="s">
        <v>27</v>
      </c>
      <c r="M223" s="3">
        <v>44583</v>
      </c>
      <c r="N223">
        <v>699.99</v>
      </c>
    </row>
    <row r="224" spans="1:14" x14ac:dyDescent="0.3">
      <c r="A224" t="s">
        <v>366</v>
      </c>
      <c r="B224" s="3">
        <v>45711</v>
      </c>
      <c r="C224" t="s">
        <v>325</v>
      </c>
      <c r="D224" t="s">
        <v>326</v>
      </c>
      <c r="E224" t="s">
        <v>44</v>
      </c>
      <c r="F224" t="s">
        <v>45</v>
      </c>
      <c r="G224" t="s">
        <v>46</v>
      </c>
      <c r="H224">
        <v>4</v>
      </c>
      <c r="I224">
        <v>149.99</v>
      </c>
      <c r="J224" t="s">
        <v>34</v>
      </c>
      <c r="K224" t="s">
        <v>40</v>
      </c>
      <c r="L224" t="s">
        <v>27</v>
      </c>
      <c r="M224" s="3">
        <v>44412</v>
      </c>
      <c r="N224">
        <v>599.96</v>
      </c>
    </row>
    <row r="225" spans="1:14" x14ac:dyDescent="0.3">
      <c r="A225" t="s">
        <v>367</v>
      </c>
      <c r="B225" s="3">
        <v>45711</v>
      </c>
      <c r="C225" t="s">
        <v>211</v>
      </c>
      <c r="D225" t="s">
        <v>212</v>
      </c>
      <c r="E225" t="s">
        <v>117</v>
      </c>
      <c r="F225" t="s">
        <v>118</v>
      </c>
      <c r="G225" t="s">
        <v>19</v>
      </c>
      <c r="H225">
        <v>5</v>
      </c>
      <c r="I225">
        <v>89.99</v>
      </c>
      <c r="J225" t="s">
        <v>34</v>
      </c>
      <c r="K225" t="s">
        <v>50</v>
      </c>
      <c r="L225" t="s">
        <v>27</v>
      </c>
      <c r="M225" s="3">
        <v>45140</v>
      </c>
      <c r="N225">
        <v>449.95</v>
      </c>
    </row>
    <row r="226" spans="1:14" x14ac:dyDescent="0.3">
      <c r="A226" t="s">
        <v>368</v>
      </c>
      <c r="B226" s="3">
        <v>45712</v>
      </c>
      <c r="C226" t="s">
        <v>138</v>
      </c>
      <c r="D226" t="s">
        <v>139</v>
      </c>
      <c r="E226" t="s">
        <v>126</v>
      </c>
      <c r="F226" t="s">
        <v>127</v>
      </c>
      <c r="G226" t="s">
        <v>46</v>
      </c>
      <c r="H226">
        <v>2</v>
      </c>
      <c r="I226">
        <v>199.99</v>
      </c>
      <c r="J226" t="s">
        <v>20</v>
      </c>
      <c r="K226" t="s">
        <v>21</v>
      </c>
      <c r="L226" t="s">
        <v>27</v>
      </c>
      <c r="M226" s="3">
        <v>44573</v>
      </c>
      <c r="N226">
        <v>399.98</v>
      </c>
    </row>
    <row r="227" spans="1:14" x14ac:dyDescent="0.3">
      <c r="A227" t="s">
        <v>369</v>
      </c>
      <c r="B227" s="3">
        <v>45715</v>
      </c>
      <c r="C227" t="s">
        <v>259</v>
      </c>
      <c r="D227" t="s">
        <v>260</v>
      </c>
      <c r="E227" t="s">
        <v>31</v>
      </c>
      <c r="F227" t="s">
        <v>32</v>
      </c>
      <c r="G227" t="s">
        <v>33</v>
      </c>
      <c r="H227">
        <v>4</v>
      </c>
      <c r="I227">
        <v>59.99</v>
      </c>
      <c r="J227" t="s">
        <v>20</v>
      </c>
      <c r="K227" t="s">
        <v>50</v>
      </c>
      <c r="L227" t="s">
        <v>36</v>
      </c>
      <c r="M227" s="3">
        <v>45070</v>
      </c>
      <c r="N227">
        <v>239.96</v>
      </c>
    </row>
    <row r="228" spans="1:14" x14ac:dyDescent="0.3">
      <c r="A228" t="s">
        <v>370</v>
      </c>
      <c r="B228" s="3">
        <v>45715</v>
      </c>
      <c r="C228" t="s">
        <v>93</v>
      </c>
      <c r="D228" t="s">
        <v>94</v>
      </c>
      <c r="E228" t="s">
        <v>105</v>
      </c>
      <c r="F228" t="s">
        <v>106</v>
      </c>
      <c r="G228" t="s">
        <v>46</v>
      </c>
      <c r="H228">
        <v>2</v>
      </c>
      <c r="I228">
        <v>299.99</v>
      </c>
      <c r="J228" t="s">
        <v>34</v>
      </c>
      <c r="K228" t="s">
        <v>35</v>
      </c>
      <c r="L228" t="s">
        <v>22</v>
      </c>
      <c r="M228" s="3">
        <v>44576</v>
      </c>
      <c r="N228">
        <v>599.98</v>
      </c>
    </row>
    <row r="229" spans="1:14" x14ac:dyDescent="0.3">
      <c r="A229" t="s">
        <v>371</v>
      </c>
      <c r="B229" s="3">
        <v>45718</v>
      </c>
      <c r="C229" t="s">
        <v>55</v>
      </c>
      <c r="D229" t="s">
        <v>56</v>
      </c>
      <c r="E229" t="s">
        <v>44</v>
      </c>
      <c r="F229" t="s">
        <v>45</v>
      </c>
      <c r="G229" t="s">
        <v>46</v>
      </c>
      <c r="H229">
        <v>2</v>
      </c>
      <c r="I229">
        <v>149.99</v>
      </c>
      <c r="J229" t="s">
        <v>20</v>
      </c>
      <c r="K229" t="s">
        <v>21</v>
      </c>
      <c r="L229" t="s">
        <v>22</v>
      </c>
      <c r="M229" s="3">
        <v>45068</v>
      </c>
      <c r="N229">
        <v>299.98</v>
      </c>
    </row>
    <row r="230" spans="1:14" x14ac:dyDescent="0.3">
      <c r="A230" t="s">
        <v>372</v>
      </c>
      <c r="B230" s="3">
        <v>45720</v>
      </c>
      <c r="C230" t="s">
        <v>226</v>
      </c>
      <c r="D230" t="s">
        <v>227</v>
      </c>
      <c r="E230" t="s">
        <v>80</v>
      </c>
      <c r="F230" t="s">
        <v>81</v>
      </c>
      <c r="G230" t="s">
        <v>19</v>
      </c>
      <c r="H230">
        <v>5</v>
      </c>
      <c r="I230">
        <v>699.99</v>
      </c>
      <c r="J230" t="s">
        <v>57</v>
      </c>
      <c r="K230" t="s">
        <v>63</v>
      </c>
      <c r="L230" t="s">
        <v>27</v>
      </c>
      <c r="M230" s="3">
        <v>45161</v>
      </c>
      <c r="N230">
        <v>3499.95</v>
      </c>
    </row>
    <row r="231" spans="1:14" x14ac:dyDescent="0.3">
      <c r="A231" t="s">
        <v>373</v>
      </c>
      <c r="B231" s="3">
        <v>45721</v>
      </c>
      <c r="C231" t="s">
        <v>75</v>
      </c>
      <c r="D231" t="s">
        <v>76</v>
      </c>
      <c r="E231" t="s">
        <v>31</v>
      </c>
      <c r="F231" t="s">
        <v>32</v>
      </c>
      <c r="G231" t="s">
        <v>33</v>
      </c>
      <c r="H231">
        <v>5</v>
      </c>
      <c r="I231">
        <v>59.99</v>
      </c>
      <c r="J231" t="s">
        <v>20</v>
      </c>
      <c r="K231" t="s">
        <v>50</v>
      </c>
      <c r="L231" t="s">
        <v>27</v>
      </c>
      <c r="M231" s="3">
        <v>45291</v>
      </c>
      <c r="N231">
        <v>299.95</v>
      </c>
    </row>
    <row r="232" spans="1:14" x14ac:dyDescent="0.3">
      <c r="A232" t="s">
        <v>374</v>
      </c>
      <c r="B232" s="3">
        <v>45723</v>
      </c>
      <c r="C232" t="s">
        <v>15</v>
      </c>
      <c r="D232" t="s">
        <v>16</v>
      </c>
      <c r="E232" t="s">
        <v>117</v>
      </c>
      <c r="F232" t="s">
        <v>118</v>
      </c>
      <c r="G232" t="s">
        <v>19</v>
      </c>
      <c r="H232">
        <v>2</v>
      </c>
      <c r="I232">
        <v>89.99</v>
      </c>
      <c r="J232" t="s">
        <v>26</v>
      </c>
      <c r="K232" t="s">
        <v>50</v>
      </c>
      <c r="L232" t="s">
        <v>27</v>
      </c>
      <c r="M232" s="3">
        <v>45295</v>
      </c>
      <c r="N232">
        <v>179.98</v>
      </c>
    </row>
    <row r="233" spans="1:14" x14ac:dyDescent="0.3">
      <c r="A233" t="s">
        <v>375</v>
      </c>
      <c r="B233" s="3">
        <v>45723</v>
      </c>
      <c r="C233" t="s">
        <v>120</v>
      </c>
      <c r="D233" t="s">
        <v>121</v>
      </c>
      <c r="E233" t="s">
        <v>17</v>
      </c>
      <c r="F233" t="s">
        <v>18</v>
      </c>
      <c r="G233" t="s">
        <v>19</v>
      </c>
      <c r="H233">
        <v>5</v>
      </c>
      <c r="I233">
        <v>249.99</v>
      </c>
      <c r="J233" t="s">
        <v>20</v>
      </c>
      <c r="K233" t="s">
        <v>63</v>
      </c>
      <c r="L233" t="s">
        <v>36</v>
      </c>
      <c r="M233" s="3">
        <v>44540</v>
      </c>
      <c r="N233">
        <v>1249.95</v>
      </c>
    </row>
    <row r="234" spans="1:14" x14ac:dyDescent="0.3">
      <c r="A234" t="s">
        <v>376</v>
      </c>
      <c r="B234" s="3">
        <v>45724</v>
      </c>
      <c r="C234" t="s">
        <v>226</v>
      </c>
      <c r="D234" t="s">
        <v>227</v>
      </c>
      <c r="E234" t="s">
        <v>44</v>
      </c>
      <c r="F234" t="s">
        <v>45</v>
      </c>
      <c r="G234" t="s">
        <v>46</v>
      </c>
      <c r="H234">
        <v>2</v>
      </c>
      <c r="I234">
        <v>149.99</v>
      </c>
      <c r="J234" t="s">
        <v>34</v>
      </c>
      <c r="K234" t="s">
        <v>21</v>
      </c>
      <c r="L234" t="s">
        <v>27</v>
      </c>
      <c r="M234" s="3">
        <v>44632</v>
      </c>
      <c r="N234">
        <v>299.98</v>
      </c>
    </row>
    <row r="235" spans="1:14" x14ac:dyDescent="0.3">
      <c r="A235" t="s">
        <v>377</v>
      </c>
      <c r="B235" s="3">
        <v>45724</v>
      </c>
      <c r="C235" t="s">
        <v>144</v>
      </c>
      <c r="D235" t="s">
        <v>145</v>
      </c>
      <c r="E235" t="s">
        <v>61</v>
      </c>
      <c r="F235" t="s">
        <v>62</v>
      </c>
      <c r="G235" t="s">
        <v>19</v>
      </c>
      <c r="H235">
        <v>5</v>
      </c>
      <c r="I235">
        <v>899.99</v>
      </c>
      <c r="J235" t="s">
        <v>34</v>
      </c>
      <c r="K235" t="s">
        <v>63</v>
      </c>
      <c r="L235" t="s">
        <v>27</v>
      </c>
      <c r="M235" s="3">
        <v>45389</v>
      </c>
      <c r="N235">
        <v>4499.95</v>
      </c>
    </row>
    <row r="236" spans="1:14" x14ac:dyDescent="0.3">
      <c r="A236" t="s">
        <v>378</v>
      </c>
      <c r="B236" s="3">
        <v>45724</v>
      </c>
      <c r="C236" t="s">
        <v>55</v>
      </c>
      <c r="D236" t="s">
        <v>56</v>
      </c>
      <c r="E236" t="s">
        <v>44</v>
      </c>
      <c r="F236" t="s">
        <v>45</v>
      </c>
      <c r="G236" t="s">
        <v>46</v>
      </c>
      <c r="H236">
        <v>4</v>
      </c>
      <c r="I236">
        <v>149.99</v>
      </c>
      <c r="J236" t="s">
        <v>20</v>
      </c>
      <c r="K236" t="s">
        <v>21</v>
      </c>
      <c r="L236" t="s">
        <v>36</v>
      </c>
      <c r="M236" s="3">
        <v>45263</v>
      </c>
      <c r="N236">
        <v>599.96</v>
      </c>
    </row>
    <row r="237" spans="1:14" x14ac:dyDescent="0.3">
      <c r="A237" t="s">
        <v>379</v>
      </c>
      <c r="B237" s="3">
        <v>45726</v>
      </c>
      <c r="C237" t="s">
        <v>144</v>
      </c>
      <c r="D237" t="s">
        <v>145</v>
      </c>
      <c r="E237" t="s">
        <v>17</v>
      </c>
      <c r="F237" t="s">
        <v>18</v>
      </c>
      <c r="G237" t="s">
        <v>19</v>
      </c>
      <c r="H237">
        <v>1</v>
      </c>
      <c r="I237">
        <v>249.99</v>
      </c>
      <c r="J237" t="s">
        <v>20</v>
      </c>
      <c r="K237" t="s">
        <v>40</v>
      </c>
      <c r="L237" t="s">
        <v>36</v>
      </c>
      <c r="M237" s="3">
        <v>45117</v>
      </c>
      <c r="N237">
        <v>249.99</v>
      </c>
    </row>
    <row r="238" spans="1:14" x14ac:dyDescent="0.3">
      <c r="A238" t="s">
        <v>380</v>
      </c>
      <c r="B238" s="3">
        <v>45734</v>
      </c>
      <c r="C238" t="s">
        <v>192</v>
      </c>
      <c r="D238" t="s">
        <v>193</v>
      </c>
      <c r="E238" t="s">
        <v>31</v>
      </c>
      <c r="F238" t="s">
        <v>32</v>
      </c>
      <c r="G238" t="s">
        <v>33</v>
      </c>
      <c r="H238">
        <v>2</v>
      </c>
      <c r="I238">
        <v>59.99</v>
      </c>
      <c r="J238" t="s">
        <v>26</v>
      </c>
      <c r="K238" t="s">
        <v>50</v>
      </c>
      <c r="L238" t="s">
        <v>22</v>
      </c>
      <c r="M238" s="3">
        <v>45193</v>
      </c>
      <c r="N238">
        <v>119.98</v>
      </c>
    </row>
    <row r="239" spans="1:14" x14ac:dyDescent="0.3">
      <c r="A239" t="s">
        <v>381</v>
      </c>
      <c r="B239" s="3">
        <v>45737</v>
      </c>
      <c r="C239" t="s">
        <v>132</v>
      </c>
      <c r="D239" t="s">
        <v>133</v>
      </c>
      <c r="E239" t="s">
        <v>44</v>
      </c>
      <c r="F239" t="s">
        <v>45</v>
      </c>
      <c r="G239" t="s">
        <v>46</v>
      </c>
      <c r="H239">
        <v>2</v>
      </c>
      <c r="I239">
        <v>149.99</v>
      </c>
      <c r="J239" t="s">
        <v>20</v>
      </c>
      <c r="K239" t="s">
        <v>50</v>
      </c>
      <c r="L239" t="s">
        <v>27</v>
      </c>
      <c r="M239" s="3">
        <v>45233</v>
      </c>
      <c r="N239">
        <v>299.98</v>
      </c>
    </row>
    <row r="240" spans="1:14" x14ac:dyDescent="0.3">
      <c r="A240" t="s">
        <v>382</v>
      </c>
      <c r="B240" s="3">
        <v>45737</v>
      </c>
      <c r="C240" t="s">
        <v>150</v>
      </c>
      <c r="D240" t="s">
        <v>151</v>
      </c>
      <c r="E240" t="s">
        <v>61</v>
      </c>
      <c r="F240" t="s">
        <v>62</v>
      </c>
      <c r="G240" t="s">
        <v>19</v>
      </c>
      <c r="H240">
        <v>3</v>
      </c>
      <c r="I240">
        <v>899.99</v>
      </c>
      <c r="J240" t="s">
        <v>57</v>
      </c>
      <c r="K240" t="s">
        <v>40</v>
      </c>
      <c r="L240" t="s">
        <v>27</v>
      </c>
      <c r="M240" s="3">
        <v>44876</v>
      </c>
      <c r="N240">
        <v>2699.97</v>
      </c>
    </row>
    <row r="241" spans="1:14" x14ac:dyDescent="0.3">
      <c r="A241" t="s">
        <v>383</v>
      </c>
      <c r="B241" s="3">
        <v>45737</v>
      </c>
      <c r="C241" t="s">
        <v>48</v>
      </c>
      <c r="D241" t="s">
        <v>49</v>
      </c>
      <c r="E241" t="s">
        <v>61</v>
      </c>
      <c r="F241" t="s">
        <v>62</v>
      </c>
      <c r="G241" t="s">
        <v>19</v>
      </c>
      <c r="H241">
        <v>3</v>
      </c>
      <c r="I241">
        <v>899.99</v>
      </c>
      <c r="J241" t="s">
        <v>34</v>
      </c>
      <c r="K241" t="s">
        <v>40</v>
      </c>
      <c r="L241" t="s">
        <v>22</v>
      </c>
      <c r="M241" s="3">
        <v>44975</v>
      </c>
      <c r="N241">
        <v>2699.97</v>
      </c>
    </row>
    <row r="242" spans="1:14" x14ac:dyDescent="0.3">
      <c r="A242" t="s">
        <v>384</v>
      </c>
      <c r="B242" s="3">
        <v>45739</v>
      </c>
      <c r="C242" t="s">
        <v>15</v>
      </c>
      <c r="D242" t="s">
        <v>16</v>
      </c>
      <c r="E242" t="s">
        <v>105</v>
      </c>
      <c r="F242" t="s">
        <v>106</v>
      </c>
      <c r="G242" t="s">
        <v>46</v>
      </c>
      <c r="H242">
        <v>3</v>
      </c>
      <c r="I242">
        <v>299.99</v>
      </c>
      <c r="J242" t="s">
        <v>26</v>
      </c>
      <c r="K242" t="s">
        <v>50</v>
      </c>
      <c r="L242" t="s">
        <v>27</v>
      </c>
      <c r="M242" s="3">
        <v>45234</v>
      </c>
      <c r="N242">
        <v>899.97</v>
      </c>
    </row>
    <row r="243" spans="1:14" x14ac:dyDescent="0.3">
      <c r="A243" t="s">
        <v>385</v>
      </c>
      <c r="B243" s="3">
        <v>45740</v>
      </c>
      <c r="C243" t="s">
        <v>386</v>
      </c>
      <c r="D243" t="s">
        <v>387</v>
      </c>
      <c r="E243" t="s">
        <v>44</v>
      </c>
      <c r="F243" t="s">
        <v>45</v>
      </c>
      <c r="G243" t="s">
        <v>46</v>
      </c>
      <c r="H243">
        <v>4</v>
      </c>
      <c r="I243">
        <v>149.99</v>
      </c>
      <c r="J243" t="s">
        <v>34</v>
      </c>
      <c r="K243" t="s">
        <v>50</v>
      </c>
      <c r="L243" t="s">
        <v>36</v>
      </c>
      <c r="M243" s="3">
        <v>44560</v>
      </c>
      <c r="N243">
        <v>599.96</v>
      </c>
    </row>
    <row r="244" spans="1:14" x14ac:dyDescent="0.3">
      <c r="A244" t="s">
        <v>388</v>
      </c>
      <c r="B244" s="3">
        <v>45743</v>
      </c>
      <c r="C244" t="s">
        <v>102</v>
      </c>
      <c r="D244" t="s">
        <v>103</v>
      </c>
      <c r="E244" t="s">
        <v>114</v>
      </c>
      <c r="F244" t="s">
        <v>115</v>
      </c>
      <c r="G244" t="s">
        <v>33</v>
      </c>
      <c r="H244">
        <v>4</v>
      </c>
      <c r="I244">
        <v>79.989999999999995</v>
      </c>
      <c r="J244" t="s">
        <v>26</v>
      </c>
      <c r="K244" t="s">
        <v>21</v>
      </c>
      <c r="L244" t="s">
        <v>22</v>
      </c>
      <c r="M244" s="3">
        <v>45288</v>
      </c>
      <c r="N244">
        <v>319.95999999999998</v>
      </c>
    </row>
    <row r="245" spans="1:14" x14ac:dyDescent="0.3">
      <c r="A245" t="s">
        <v>389</v>
      </c>
      <c r="B245" s="3">
        <v>45745</v>
      </c>
      <c r="C245" t="s">
        <v>185</v>
      </c>
      <c r="D245" t="s">
        <v>186</v>
      </c>
      <c r="E245" t="s">
        <v>117</v>
      </c>
      <c r="F245" t="s">
        <v>118</v>
      </c>
      <c r="G245" t="s">
        <v>19</v>
      </c>
      <c r="H245">
        <v>5</v>
      </c>
      <c r="I245">
        <v>89.99</v>
      </c>
      <c r="J245" t="s">
        <v>34</v>
      </c>
      <c r="K245" t="s">
        <v>35</v>
      </c>
      <c r="L245" t="s">
        <v>22</v>
      </c>
      <c r="M245" s="3">
        <v>44704</v>
      </c>
      <c r="N245">
        <v>449.95</v>
      </c>
    </row>
    <row r="246" spans="1:14" x14ac:dyDescent="0.3">
      <c r="A246" t="s">
        <v>390</v>
      </c>
      <c r="B246" s="3">
        <v>45746</v>
      </c>
      <c r="C246" t="s">
        <v>93</v>
      </c>
      <c r="D246" t="s">
        <v>94</v>
      </c>
      <c r="E246" t="s">
        <v>44</v>
      </c>
      <c r="F246" t="s">
        <v>45</v>
      </c>
      <c r="G246" t="s">
        <v>46</v>
      </c>
      <c r="H246">
        <v>3</v>
      </c>
      <c r="I246">
        <v>149.99</v>
      </c>
      <c r="J246" t="s">
        <v>34</v>
      </c>
      <c r="K246" t="s">
        <v>21</v>
      </c>
      <c r="L246" t="s">
        <v>36</v>
      </c>
      <c r="M246" s="3">
        <v>45171</v>
      </c>
      <c r="N246">
        <v>449.97</v>
      </c>
    </row>
    <row r="247" spans="1:14" x14ac:dyDescent="0.3">
      <c r="A247" t="s">
        <v>391</v>
      </c>
      <c r="B247" s="3">
        <v>45746</v>
      </c>
      <c r="C247" t="s">
        <v>65</v>
      </c>
      <c r="D247" t="s">
        <v>66</v>
      </c>
      <c r="E247" t="s">
        <v>117</v>
      </c>
      <c r="F247" t="s">
        <v>118</v>
      </c>
      <c r="G247" t="s">
        <v>19</v>
      </c>
      <c r="H247">
        <v>2</v>
      </c>
      <c r="I247">
        <v>89.99</v>
      </c>
      <c r="J247" t="s">
        <v>57</v>
      </c>
      <c r="K247" t="s">
        <v>50</v>
      </c>
      <c r="L247" t="s">
        <v>27</v>
      </c>
      <c r="M247" s="3">
        <v>44522</v>
      </c>
      <c r="N247">
        <v>179.98</v>
      </c>
    </row>
    <row r="248" spans="1:14" x14ac:dyDescent="0.3">
      <c r="A248" t="s">
        <v>392</v>
      </c>
      <c r="B248" s="3">
        <v>45748</v>
      </c>
      <c r="C248" t="s">
        <v>102</v>
      </c>
      <c r="D248" t="s">
        <v>103</v>
      </c>
      <c r="E248" t="s">
        <v>80</v>
      </c>
      <c r="F248" t="s">
        <v>81</v>
      </c>
      <c r="G248" t="s">
        <v>19</v>
      </c>
      <c r="H248">
        <v>2</v>
      </c>
      <c r="I248">
        <v>699.99</v>
      </c>
      <c r="J248" t="s">
        <v>34</v>
      </c>
      <c r="K248" t="s">
        <v>40</v>
      </c>
      <c r="L248" t="s">
        <v>36</v>
      </c>
      <c r="M248" s="3">
        <v>44618</v>
      </c>
      <c r="N248">
        <v>1399.98</v>
      </c>
    </row>
    <row r="249" spans="1:14" x14ac:dyDescent="0.3">
      <c r="A249" t="s">
        <v>393</v>
      </c>
      <c r="B249" s="3">
        <v>45749</v>
      </c>
      <c r="C249" t="s">
        <v>123</v>
      </c>
      <c r="D249" t="s">
        <v>124</v>
      </c>
      <c r="E249" t="s">
        <v>61</v>
      </c>
      <c r="F249" t="s">
        <v>62</v>
      </c>
      <c r="G249" t="s">
        <v>19</v>
      </c>
      <c r="H249">
        <v>3</v>
      </c>
      <c r="I249">
        <v>899.99</v>
      </c>
      <c r="J249" t="s">
        <v>20</v>
      </c>
      <c r="K249" t="s">
        <v>21</v>
      </c>
      <c r="L249" t="s">
        <v>36</v>
      </c>
      <c r="M249" s="3">
        <v>44953</v>
      </c>
      <c r="N249">
        <v>2699.97</v>
      </c>
    </row>
    <row r="250" spans="1:14" x14ac:dyDescent="0.3">
      <c r="A250" t="s">
        <v>394</v>
      </c>
      <c r="B250" s="3">
        <v>45755</v>
      </c>
      <c r="C250" t="s">
        <v>93</v>
      </c>
      <c r="D250" t="s">
        <v>94</v>
      </c>
      <c r="E250" t="s">
        <v>114</v>
      </c>
      <c r="F250" t="s">
        <v>115</v>
      </c>
      <c r="G250" t="s">
        <v>33</v>
      </c>
      <c r="H250">
        <v>3</v>
      </c>
      <c r="I250">
        <v>79.989999999999995</v>
      </c>
      <c r="J250" t="s">
        <v>26</v>
      </c>
      <c r="K250" t="s">
        <v>40</v>
      </c>
      <c r="L250" t="s">
        <v>22</v>
      </c>
      <c r="M250" s="3">
        <v>44511</v>
      </c>
      <c r="N250">
        <v>239.97</v>
      </c>
    </row>
    <row r="251" spans="1:14" x14ac:dyDescent="0.3">
      <c r="A251" t="s">
        <v>395</v>
      </c>
      <c r="B251" s="3">
        <v>45756</v>
      </c>
      <c r="C251" t="s">
        <v>59</v>
      </c>
      <c r="D251" t="s">
        <v>60</v>
      </c>
      <c r="E251" t="s">
        <v>117</v>
      </c>
      <c r="F251" t="s">
        <v>118</v>
      </c>
      <c r="G251" t="s">
        <v>19</v>
      </c>
      <c r="H251">
        <v>1</v>
      </c>
      <c r="I251">
        <v>89.99</v>
      </c>
      <c r="J251" t="s">
        <v>57</v>
      </c>
      <c r="K251" t="s">
        <v>63</v>
      </c>
      <c r="L251" t="s">
        <v>22</v>
      </c>
      <c r="M251" s="3">
        <v>45346</v>
      </c>
      <c r="N251">
        <v>89.99</v>
      </c>
    </row>
    <row r="252" spans="1:14" x14ac:dyDescent="0.3">
      <c r="A252" t="s">
        <v>396</v>
      </c>
      <c r="B252" s="3">
        <v>45758</v>
      </c>
      <c r="C252" t="s">
        <v>293</v>
      </c>
      <c r="D252" t="s">
        <v>294</v>
      </c>
      <c r="E252" t="s">
        <v>80</v>
      </c>
      <c r="F252" t="s">
        <v>81</v>
      </c>
      <c r="G252" t="s">
        <v>19</v>
      </c>
      <c r="H252">
        <v>3</v>
      </c>
      <c r="I252">
        <v>699.99</v>
      </c>
      <c r="J252" t="s">
        <v>34</v>
      </c>
      <c r="K252" t="s">
        <v>40</v>
      </c>
      <c r="L252" t="s">
        <v>22</v>
      </c>
      <c r="M252" s="3">
        <v>44909</v>
      </c>
      <c r="N252">
        <v>2099.9699999999998</v>
      </c>
    </row>
    <row r="253" spans="1:14" x14ac:dyDescent="0.3">
      <c r="A253" t="s">
        <v>397</v>
      </c>
      <c r="B253" s="3">
        <v>45758</v>
      </c>
      <c r="C253" t="s">
        <v>226</v>
      </c>
      <c r="D253" t="s">
        <v>227</v>
      </c>
      <c r="E253" t="s">
        <v>117</v>
      </c>
      <c r="F253" t="s">
        <v>118</v>
      </c>
      <c r="G253" t="s">
        <v>19</v>
      </c>
      <c r="H253">
        <v>2</v>
      </c>
      <c r="I253">
        <v>89.99</v>
      </c>
      <c r="J253" t="s">
        <v>57</v>
      </c>
      <c r="K253" t="s">
        <v>63</v>
      </c>
      <c r="L253" t="s">
        <v>22</v>
      </c>
      <c r="M253" s="3">
        <v>45088</v>
      </c>
      <c r="N253">
        <v>179.98</v>
      </c>
    </row>
    <row r="254" spans="1:14" x14ac:dyDescent="0.3">
      <c r="A254" t="s">
        <v>398</v>
      </c>
      <c r="B254" s="3">
        <v>45758</v>
      </c>
      <c r="C254" t="s">
        <v>138</v>
      </c>
      <c r="D254" t="s">
        <v>139</v>
      </c>
      <c r="E254" t="s">
        <v>117</v>
      </c>
      <c r="F254" t="s">
        <v>118</v>
      </c>
      <c r="G254" t="s">
        <v>19</v>
      </c>
      <c r="H254">
        <v>3</v>
      </c>
      <c r="I254">
        <v>89.99</v>
      </c>
      <c r="J254" t="s">
        <v>57</v>
      </c>
      <c r="K254" t="s">
        <v>40</v>
      </c>
      <c r="L254" t="s">
        <v>27</v>
      </c>
      <c r="M254" s="3">
        <v>44878</v>
      </c>
      <c r="N254">
        <v>269.97000000000003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2B7F-311B-41B1-8127-BF5BB3F24614}">
  <dimension ref="A1:D251"/>
  <sheetViews>
    <sheetView workbookViewId="0">
      <selection activeCell="D1" sqref="D1"/>
    </sheetView>
  </sheetViews>
  <sheetFormatPr defaultRowHeight="14.4" x14ac:dyDescent="0.3"/>
  <cols>
    <col min="2" max="3" width="13.77734375" customWidth="1"/>
    <col min="4" max="4" width="30.109375" customWidth="1"/>
  </cols>
  <sheetData>
    <row r="1" spans="1:4" x14ac:dyDescent="0.3">
      <c r="A1" t="s">
        <v>0</v>
      </c>
      <c r="B1" t="s">
        <v>2</v>
      </c>
      <c r="C1" t="s">
        <v>2</v>
      </c>
      <c r="D1" s="8" t="s">
        <v>477</v>
      </c>
    </row>
    <row r="2" spans="1:4" x14ac:dyDescent="0.3">
      <c r="A2" t="s">
        <v>14</v>
      </c>
      <c r="B2" t="s">
        <v>15</v>
      </c>
      <c r="C2" t="s">
        <v>15</v>
      </c>
      <c r="D2" t="str">
        <f>IF(COUNTIF($C:$C,B2)&gt;0,B2,"")</f>
        <v>CUST023</v>
      </c>
    </row>
    <row r="3" spans="1:4" x14ac:dyDescent="0.3">
      <c r="A3" t="s">
        <v>23</v>
      </c>
      <c r="B3" t="s">
        <v>24</v>
      </c>
      <c r="C3" t="s">
        <v>24</v>
      </c>
      <c r="D3" t="str">
        <f>IF(COUNTIF($C:$C,B3)&gt;0,B3,"")</f>
        <v>CUST013</v>
      </c>
    </row>
    <row r="4" spans="1:4" x14ac:dyDescent="0.3">
      <c r="A4" t="s">
        <v>28</v>
      </c>
      <c r="B4" t="s">
        <v>29</v>
      </c>
      <c r="C4" t="s">
        <v>29</v>
      </c>
      <c r="D4" t="str">
        <f t="shared" ref="D4:D67" si="0">IF(COUNTIF($C:$C,B4)&gt;0,B4,"")</f>
        <v>CUST021</v>
      </c>
    </row>
    <row r="5" spans="1:4" x14ac:dyDescent="0.3">
      <c r="A5" t="s">
        <v>37</v>
      </c>
      <c r="B5" t="s">
        <v>38</v>
      </c>
      <c r="C5" t="s">
        <v>38</v>
      </c>
      <c r="D5" t="str">
        <f t="shared" si="0"/>
        <v>CUST046</v>
      </c>
    </row>
    <row r="6" spans="1:4" x14ac:dyDescent="0.3">
      <c r="A6" t="s">
        <v>41</v>
      </c>
      <c r="B6" t="s">
        <v>42</v>
      </c>
      <c r="C6" t="s">
        <v>42</v>
      </c>
      <c r="D6" t="str">
        <f t="shared" si="0"/>
        <v>CUST003</v>
      </c>
    </row>
    <row r="7" spans="1:4" x14ac:dyDescent="0.3">
      <c r="A7" t="s">
        <v>47</v>
      </c>
      <c r="B7" t="s">
        <v>48</v>
      </c>
      <c r="C7" t="s">
        <v>86</v>
      </c>
      <c r="D7" t="str">
        <f t="shared" si="0"/>
        <v>CUST024</v>
      </c>
    </row>
    <row r="8" spans="1:4" x14ac:dyDescent="0.3">
      <c r="A8" t="s">
        <v>51</v>
      </c>
      <c r="B8" t="s">
        <v>48</v>
      </c>
      <c r="C8" t="s">
        <v>48</v>
      </c>
      <c r="D8" t="str">
        <f t="shared" si="0"/>
        <v>CUST024</v>
      </c>
    </row>
    <row r="9" spans="1:4" x14ac:dyDescent="0.3">
      <c r="A9" t="s">
        <v>54</v>
      </c>
      <c r="B9" t="s">
        <v>55</v>
      </c>
      <c r="C9" t="s">
        <v>55</v>
      </c>
      <c r="D9" t="str">
        <f t="shared" si="0"/>
        <v>CUST017</v>
      </c>
    </row>
    <row r="10" spans="1:4" x14ac:dyDescent="0.3">
      <c r="A10" t="s">
        <v>58</v>
      </c>
      <c r="B10" t="s">
        <v>59</v>
      </c>
      <c r="C10" t="s">
        <v>59</v>
      </c>
      <c r="D10" t="str">
        <f t="shared" si="0"/>
        <v>CUST009</v>
      </c>
    </row>
    <row r="11" spans="1:4" x14ac:dyDescent="0.3">
      <c r="A11" t="s">
        <v>64</v>
      </c>
      <c r="B11" t="s">
        <v>65</v>
      </c>
      <c r="C11" t="s">
        <v>65</v>
      </c>
      <c r="D11" t="str">
        <f t="shared" si="0"/>
        <v>CUST026</v>
      </c>
    </row>
    <row r="12" spans="1:4" x14ac:dyDescent="0.3">
      <c r="A12" t="s">
        <v>67</v>
      </c>
      <c r="B12" t="s">
        <v>68</v>
      </c>
      <c r="C12" t="s">
        <v>68</v>
      </c>
      <c r="D12" t="str">
        <f t="shared" si="0"/>
        <v>CUST022</v>
      </c>
    </row>
    <row r="13" spans="1:4" x14ac:dyDescent="0.3">
      <c r="A13" t="s">
        <v>70</v>
      </c>
      <c r="B13" t="s">
        <v>38</v>
      </c>
      <c r="C13" t="s">
        <v>38</v>
      </c>
      <c r="D13" t="str">
        <f t="shared" si="0"/>
        <v>CUST046</v>
      </c>
    </row>
    <row r="14" spans="1:4" x14ac:dyDescent="0.3">
      <c r="A14" t="s">
        <v>71</v>
      </c>
      <c r="B14" t="s">
        <v>72</v>
      </c>
      <c r="C14" t="s">
        <v>72</v>
      </c>
      <c r="D14" t="str">
        <f t="shared" si="0"/>
        <v>CUST041</v>
      </c>
    </row>
    <row r="15" spans="1:4" x14ac:dyDescent="0.3">
      <c r="A15" t="s">
        <v>74</v>
      </c>
      <c r="B15" t="s">
        <v>75</v>
      </c>
      <c r="C15" t="s">
        <v>75</v>
      </c>
      <c r="D15" t="str">
        <f t="shared" si="0"/>
        <v>CUST043</v>
      </c>
    </row>
    <row r="16" spans="1:4" x14ac:dyDescent="0.3">
      <c r="A16" t="s">
        <v>77</v>
      </c>
      <c r="B16" t="s">
        <v>78</v>
      </c>
      <c r="C16" t="s">
        <v>78</v>
      </c>
      <c r="D16" t="str">
        <f t="shared" si="0"/>
        <v>CUST038</v>
      </c>
    </row>
    <row r="17" spans="1:4" x14ac:dyDescent="0.3">
      <c r="A17" t="s">
        <v>82</v>
      </c>
      <c r="B17" t="s">
        <v>83</v>
      </c>
      <c r="C17" t="s">
        <v>83</v>
      </c>
      <c r="D17" t="str">
        <f t="shared" si="0"/>
        <v>CUST027</v>
      </c>
    </row>
    <row r="18" spans="1:4" x14ac:dyDescent="0.3">
      <c r="A18" t="s">
        <v>85</v>
      </c>
      <c r="B18" t="s">
        <v>86</v>
      </c>
      <c r="C18" t="s">
        <v>86</v>
      </c>
      <c r="D18" t="str">
        <f t="shared" si="0"/>
        <v>CUST025</v>
      </c>
    </row>
    <row r="19" spans="1:4" x14ac:dyDescent="0.3">
      <c r="A19" t="s">
        <v>88</v>
      </c>
      <c r="B19" t="s">
        <v>89</v>
      </c>
      <c r="C19" t="s">
        <v>89</v>
      </c>
      <c r="D19" t="str">
        <f t="shared" si="0"/>
        <v>CUST010</v>
      </c>
    </row>
    <row r="20" spans="1:4" x14ac:dyDescent="0.3">
      <c r="A20" t="s">
        <v>91</v>
      </c>
      <c r="B20" t="s">
        <v>86</v>
      </c>
      <c r="C20" t="s">
        <v>86</v>
      </c>
      <c r="D20" t="str">
        <f t="shared" si="0"/>
        <v>CUST025</v>
      </c>
    </row>
    <row r="21" spans="1:4" x14ac:dyDescent="0.3">
      <c r="A21" t="s">
        <v>92</v>
      </c>
      <c r="B21" t="s">
        <v>93</v>
      </c>
      <c r="C21" t="s">
        <v>93</v>
      </c>
      <c r="D21" t="str">
        <f t="shared" si="0"/>
        <v>CUST048</v>
      </c>
    </row>
    <row r="22" spans="1:4" x14ac:dyDescent="0.3">
      <c r="A22" t="s">
        <v>95</v>
      </c>
      <c r="B22" t="s">
        <v>96</v>
      </c>
      <c r="C22" t="s">
        <v>96</v>
      </c>
      <c r="D22" t="str">
        <f t="shared" si="0"/>
        <v>CUST018</v>
      </c>
    </row>
    <row r="23" spans="1:4" x14ac:dyDescent="0.3">
      <c r="A23" t="s">
        <v>98</v>
      </c>
      <c r="B23" t="s">
        <v>99</v>
      </c>
      <c r="C23" t="s">
        <v>99</v>
      </c>
      <c r="D23" t="str">
        <f t="shared" si="0"/>
        <v>CUST012</v>
      </c>
    </row>
    <row r="24" spans="1:4" x14ac:dyDescent="0.3">
      <c r="A24" t="s">
        <v>101</v>
      </c>
      <c r="B24" t="s">
        <v>102</v>
      </c>
      <c r="C24" t="s">
        <v>102</v>
      </c>
      <c r="D24" t="str">
        <f t="shared" si="0"/>
        <v>CUST044</v>
      </c>
    </row>
    <row r="25" spans="1:4" x14ac:dyDescent="0.3">
      <c r="A25" t="s">
        <v>104</v>
      </c>
      <c r="B25" t="s">
        <v>86</v>
      </c>
      <c r="C25" t="s">
        <v>86</v>
      </c>
      <c r="D25" t="str">
        <f t="shared" si="0"/>
        <v>CUST025</v>
      </c>
    </row>
    <row r="26" spans="1:4" x14ac:dyDescent="0.3">
      <c r="A26" t="s">
        <v>107</v>
      </c>
      <c r="B26" t="s">
        <v>108</v>
      </c>
      <c r="C26" t="s">
        <v>108</v>
      </c>
      <c r="D26" t="str">
        <f t="shared" si="0"/>
        <v>CUST036</v>
      </c>
    </row>
    <row r="27" spans="1:4" x14ac:dyDescent="0.3">
      <c r="A27" t="s">
        <v>110</v>
      </c>
      <c r="B27" t="s">
        <v>68</v>
      </c>
      <c r="C27" t="s">
        <v>68</v>
      </c>
      <c r="D27" t="str">
        <f t="shared" si="0"/>
        <v>CUST022</v>
      </c>
    </row>
    <row r="28" spans="1:4" x14ac:dyDescent="0.3">
      <c r="A28" t="s">
        <v>111</v>
      </c>
      <c r="B28" t="s">
        <v>112</v>
      </c>
      <c r="C28" t="s">
        <v>112</v>
      </c>
      <c r="D28" t="str">
        <f t="shared" si="0"/>
        <v>CUST014</v>
      </c>
    </row>
    <row r="29" spans="1:4" x14ac:dyDescent="0.3">
      <c r="A29" t="s">
        <v>116</v>
      </c>
      <c r="B29" t="s">
        <v>99</v>
      </c>
      <c r="C29" t="s">
        <v>99</v>
      </c>
      <c r="D29" t="str">
        <f t="shared" si="0"/>
        <v>CUST012</v>
      </c>
    </row>
    <row r="30" spans="1:4" x14ac:dyDescent="0.3">
      <c r="A30" t="s">
        <v>119</v>
      </c>
      <c r="B30" t="s">
        <v>120</v>
      </c>
      <c r="C30" t="s">
        <v>120</v>
      </c>
      <c r="D30" t="str">
        <f t="shared" si="0"/>
        <v>CUST030</v>
      </c>
    </row>
    <row r="31" spans="1:4" x14ac:dyDescent="0.3">
      <c r="A31" t="s">
        <v>122</v>
      </c>
      <c r="B31" t="s">
        <v>123</v>
      </c>
      <c r="C31" t="s">
        <v>123</v>
      </c>
      <c r="D31" t="str">
        <f t="shared" si="0"/>
        <v>CUST029</v>
      </c>
    </row>
    <row r="32" spans="1:4" x14ac:dyDescent="0.3">
      <c r="A32" t="s">
        <v>125</v>
      </c>
      <c r="B32" t="s">
        <v>55</v>
      </c>
      <c r="C32" t="s">
        <v>55</v>
      </c>
      <c r="D32" t="str">
        <f t="shared" si="0"/>
        <v>CUST017</v>
      </c>
    </row>
    <row r="33" spans="1:4" x14ac:dyDescent="0.3">
      <c r="A33" t="s">
        <v>128</v>
      </c>
      <c r="B33" t="s">
        <v>129</v>
      </c>
      <c r="C33" t="s">
        <v>129</v>
      </c>
      <c r="D33" t="str">
        <f t="shared" si="0"/>
        <v>CUST006</v>
      </c>
    </row>
    <row r="34" spans="1:4" x14ac:dyDescent="0.3">
      <c r="A34" t="s">
        <v>131</v>
      </c>
      <c r="B34" t="s">
        <v>132</v>
      </c>
      <c r="C34" t="s">
        <v>132</v>
      </c>
      <c r="D34" t="str">
        <f t="shared" si="0"/>
        <v>CUST002</v>
      </c>
    </row>
    <row r="35" spans="1:4" x14ac:dyDescent="0.3">
      <c r="A35" t="s">
        <v>134</v>
      </c>
      <c r="B35" t="s">
        <v>29</v>
      </c>
      <c r="C35" t="s">
        <v>29</v>
      </c>
      <c r="D35" t="str">
        <f t="shared" si="0"/>
        <v>CUST021</v>
      </c>
    </row>
    <row r="36" spans="1:4" x14ac:dyDescent="0.3">
      <c r="A36" t="s">
        <v>135</v>
      </c>
      <c r="B36" t="s">
        <v>99</v>
      </c>
      <c r="C36" t="s">
        <v>99</v>
      </c>
      <c r="D36" t="str">
        <f t="shared" si="0"/>
        <v>CUST012</v>
      </c>
    </row>
    <row r="37" spans="1:4" x14ac:dyDescent="0.3">
      <c r="A37" t="s">
        <v>136</v>
      </c>
      <c r="B37" t="s">
        <v>129</v>
      </c>
      <c r="C37" t="s">
        <v>129</v>
      </c>
      <c r="D37" t="str">
        <f t="shared" si="0"/>
        <v>CUST006</v>
      </c>
    </row>
    <row r="38" spans="1:4" x14ac:dyDescent="0.3">
      <c r="A38" t="s">
        <v>137</v>
      </c>
      <c r="B38" t="s">
        <v>138</v>
      </c>
      <c r="C38" t="s">
        <v>138</v>
      </c>
      <c r="D38" t="str">
        <f t="shared" si="0"/>
        <v>CUST031</v>
      </c>
    </row>
    <row r="39" spans="1:4" x14ac:dyDescent="0.3">
      <c r="A39" t="s">
        <v>140</v>
      </c>
      <c r="B39" t="s">
        <v>141</v>
      </c>
      <c r="C39" t="s">
        <v>141</v>
      </c>
      <c r="D39" t="str">
        <f t="shared" si="0"/>
        <v>CUST008</v>
      </c>
    </row>
    <row r="40" spans="1:4" x14ac:dyDescent="0.3">
      <c r="A40" t="s">
        <v>143</v>
      </c>
      <c r="B40" t="s">
        <v>144</v>
      </c>
      <c r="C40" t="s">
        <v>144</v>
      </c>
      <c r="D40" t="str">
        <f t="shared" si="0"/>
        <v>CUST035</v>
      </c>
    </row>
    <row r="41" spans="1:4" x14ac:dyDescent="0.3">
      <c r="A41" t="s">
        <v>146</v>
      </c>
      <c r="B41" t="s">
        <v>147</v>
      </c>
      <c r="C41" t="s">
        <v>147</v>
      </c>
      <c r="D41" t="str">
        <f t="shared" si="0"/>
        <v>CUST019</v>
      </c>
    </row>
    <row r="42" spans="1:4" x14ac:dyDescent="0.3">
      <c r="A42" t="s">
        <v>149</v>
      </c>
      <c r="B42" t="s">
        <v>150</v>
      </c>
      <c r="C42" t="s">
        <v>150</v>
      </c>
      <c r="D42" t="str">
        <f t="shared" si="0"/>
        <v>CUST040</v>
      </c>
    </row>
    <row r="43" spans="1:4" x14ac:dyDescent="0.3">
      <c r="A43" t="s">
        <v>152</v>
      </c>
      <c r="B43" t="s">
        <v>55</v>
      </c>
      <c r="C43" t="s">
        <v>55</v>
      </c>
      <c r="D43" t="str">
        <f t="shared" si="0"/>
        <v>CUST017</v>
      </c>
    </row>
    <row r="44" spans="1:4" x14ac:dyDescent="0.3">
      <c r="A44" t="s">
        <v>153</v>
      </c>
      <c r="B44" t="s">
        <v>154</v>
      </c>
      <c r="C44" t="s">
        <v>154</v>
      </c>
      <c r="D44" t="str">
        <f t="shared" si="0"/>
        <v>CUST004</v>
      </c>
    </row>
    <row r="45" spans="1:4" x14ac:dyDescent="0.3">
      <c r="A45" t="s">
        <v>156</v>
      </c>
      <c r="B45" t="s">
        <v>24</v>
      </c>
      <c r="C45" t="s">
        <v>24</v>
      </c>
      <c r="D45" t="str">
        <f t="shared" si="0"/>
        <v>CUST013</v>
      </c>
    </row>
    <row r="46" spans="1:4" x14ac:dyDescent="0.3">
      <c r="A46" t="s">
        <v>157</v>
      </c>
      <c r="B46" t="s">
        <v>158</v>
      </c>
      <c r="C46" t="s">
        <v>158</v>
      </c>
      <c r="D46" t="str">
        <f t="shared" si="0"/>
        <v>CUST028</v>
      </c>
    </row>
    <row r="47" spans="1:4" x14ac:dyDescent="0.3">
      <c r="A47" t="s">
        <v>160</v>
      </c>
      <c r="B47" t="s">
        <v>42</v>
      </c>
      <c r="C47" t="s">
        <v>42</v>
      </c>
      <c r="D47" t="str">
        <f t="shared" si="0"/>
        <v>CUST003</v>
      </c>
    </row>
    <row r="48" spans="1:4" x14ac:dyDescent="0.3">
      <c r="A48" t="s">
        <v>161</v>
      </c>
      <c r="B48" t="s">
        <v>162</v>
      </c>
      <c r="C48" t="s">
        <v>162</v>
      </c>
      <c r="D48" t="str">
        <f t="shared" si="0"/>
        <v>CUST050</v>
      </c>
    </row>
    <row r="49" spans="1:4" x14ac:dyDescent="0.3">
      <c r="A49" t="s">
        <v>164</v>
      </c>
      <c r="B49" t="s">
        <v>129</v>
      </c>
      <c r="C49" t="s">
        <v>129</v>
      </c>
      <c r="D49" t="str">
        <f t="shared" si="0"/>
        <v>CUST006</v>
      </c>
    </row>
    <row r="50" spans="1:4" x14ac:dyDescent="0.3">
      <c r="A50" t="s">
        <v>165</v>
      </c>
      <c r="B50" t="s">
        <v>99</v>
      </c>
      <c r="C50" t="s">
        <v>99</v>
      </c>
      <c r="D50" t="str">
        <f t="shared" si="0"/>
        <v>CUST012</v>
      </c>
    </row>
    <row r="51" spans="1:4" x14ac:dyDescent="0.3">
      <c r="A51" t="s">
        <v>166</v>
      </c>
      <c r="B51" t="s">
        <v>15</v>
      </c>
      <c r="C51" t="s">
        <v>15</v>
      </c>
      <c r="D51" t="str">
        <f t="shared" si="0"/>
        <v>CUST023</v>
      </c>
    </row>
    <row r="52" spans="1:4" x14ac:dyDescent="0.3">
      <c r="A52" t="s">
        <v>167</v>
      </c>
      <c r="B52" t="s">
        <v>123</v>
      </c>
      <c r="C52" t="s">
        <v>123</v>
      </c>
      <c r="D52" t="str">
        <f t="shared" si="0"/>
        <v>CUST029</v>
      </c>
    </row>
    <row r="53" spans="1:4" x14ac:dyDescent="0.3">
      <c r="A53" t="s">
        <v>168</v>
      </c>
      <c r="B53" t="s">
        <v>158</v>
      </c>
      <c r="C53" t="s">
        <v>158</v>
      </c>
      <c r="D53" t="str">
        <f t="shared" si="0"/>
        <v>CUST028</v>
      </c>
    </row>
    <row r="54" spans="1:4" x14ac:dyDescent="0.3">
      <c r="A54" t="s">
        <v>169</v>
      </c>
      <c r="B54" t="s">
        <v>141</v>
      </c>
      <c r="C54" t="s">
        <v>141</v>
      </c>
      <c r="D54" t="str">
        <f t="shared" si="0"/>
        <v>CUST008</v>
      </c>
    </row>
    <row r="55" spans="1:4" x14ac:dyDescent="0.3">
      <c r="A55" t="s">
        <v>170</v>
      </c>
      <c r="B55" t="s">
        <v>171</v>
      </c>
      <c r="C55" t="s">
        <v>171</v>
      </c>
      <c r="D55" t="str">
        <f t="shared" si="0"/>
        <v>CUST049</v>
      </c>
    </row>
    <row r="56" spans="1:4" x14ac:dyDescent="0.3">
      <c r="A56" t="s">
        <v>173</v>
      </c>
      <c r="B56" t="s">
        <v>29</v>
      </c>
      <c r="C56" t="s">
        <v>29</v>
      </c>
      <c r="D56" t="str">
        <f t="shared" si="0"/>
        <v>CUST021</v>
      </c>
    </row>
    <row r="57" spans="1:4" x14ac:dyDescent="0.3">
      <c r="A57" t="s">
        <v>174</v>
      </c>
      <c r="B57" t="s">
        <v>59</v>
      </c>
      <c r="C57" t="s">
        <v>59</v>
      </c>
      <c r="D57" t="str">
        <f t="shared" si="0"/>
        <v>CUST009</v>
      </c>
    </row>
    <row r="58" spans="1:4" x14ac:dyDescent="0.3">
      <c r="A58" t="s">
        <v>175</v>
      </c>
      <c r="B58" t="s">
        <v>38</v>
      </c>
      <c r="C58" t="s">
        <v>38</v>
      </c>
      <c r="D58" t="str">
        <f t="shared" si="0"/>
        <v>CUST046</v>
      </c>
    </row>
    <row r="59" spans="1:4" x14ac:dyDescent="0.3">
      <c r="A59" t="s">
        <v>176</v>
      </c>
      <c r="B59" t="s">
        <v>99</v>
      </c>
      <c r="C59" t="s">
        <v>99</v>
      </c>
      <c r="D59" t="str">
        <f t="shared" si="0"/>
        <v>CUST012</v>
      </c>
    </row>
    <row r="60" spans="1:4" x14ac:dyDescent="0.3">
      <c r="A60" t="s">
        <v>177</v>
      </c>
      <c r="B60" t="s">
        <v>120</v>
      </c>
      <c r="C60" t="s">
        <v>120</v>
      </c>
      <c r="D60" t="str">
        <f t="shared" si="0"/>
        <v>CUST030</v>
      </c>
    </row>
    <row r="61" spans="1:4" x14ac:dyDescent="0.3">
      <c r="A61" t="s">
        <v>178</v>
      </c>
      <c r="B61" t="s">
        <v>132</v>
      </c>
      <c r="C61" t="s">
        <v>132</v>
      </c>
      <c r="D61" t="str">
        <f t="shared" si="0"/>
        <v>CUST002</v>
      </c>
    </row>
    <row r="62" spans="1:4" x14ac:dyDescent="0.3">
      <c r="A62" t="s">
        <v>179</v>
      </c>
      <c r="B62" t="s">
        <v>55</v>
      </c>
      <c r="C62" t="s">
        <v>55</v>
      </c>
      <c r="D62" t="str">
        <f t="shared" si="0"/>
        <v>CUST017</v>
      </c>
    </row>
    <row r="63" spans="1:4" x14ac:dyDescent="0.3">
      <c r="A63" t="s">
        <v>180</v>
      </c>
      <c r="B63" t="s">
        <v>68</v>
      </c>
      <c r="C63" t="s">
        <v>68</v>
      </c>
      <c r="D63" t="str">
        <f t="shared" si="0"/>
        <v>CUST022</v>
      </c>
    </row>
    <row r="64" spans="1:4" x14ac:dyDescent="0.3">
      <c r="A64" t="s">
        <v>181</v>
      </c>
      <c r="B64" t="s">
        <v>182</v>
      </c>
      <c r="C64" t="s">
        <v>182</v>
      </c>
      <c r="D64" t="str">
        <f t="shared" si="0"/>
        <v>CUST007</v>
      </c>
    </row>
    <row r="65" spans="1:4" x14ac:dyDescent="0.3">
      <c r="A65" t="s">
        <v>184</v>
      </c>
      <c r="B65" t="s">
        <v>185</v>
      </c>
      <c r="C65" t="s">
        <v>185</v>
      </c>
      <c r="D65" t="str">
        <f t="shared" si="0"/>
        <v>CUST020</v>
      </c>
    </row>
    <row r="66" spans="1:4" x14ac:dyDescent="0.3">
      <c r="A66" t="s">
        <v>187</v>
      </c>
      <c r="B66" t="s">
        <v>42</v>
      </c>
      <c r="C66" t="s">
        <v>42</v>
      </c>
      <c r="D66" t="str">
        <f t="shared" si="0"/>
        <v>CUST003</v>
      </c>
    </row>
    <row r="67" spans="1:4" x14ac:dyDescent="0.3">
      <c r="A67" t="s">
        <v>188</v>
      </c>
      <c r="B67" t="s">
        <v>96</v>
      </c>
      <c r="C67" t="s">
        <v>96</v>
      </c>
      <c r="D67" t="str">
        <f t="shared" si="0"/>
        <v>CUST018</v>
      </c>
    </row>
    <row r="68" spans="1:4" x14ac:dyDescent="0.3">
      <c r="A68" t="s">
        <v>189</v>
      </c>
      <c r="B68" t="s">
        <v>171</v>
      </c>
      <c r="C68" t="s">
        <v>171</v>
      </c>
      <c r="D68" t="str">
        <f t="shared" ref="D68:D131" si="1">IF(COUNTIF($C:$C,B68)&gt;0,B68,"")</f>
        <v>CUST049</v>
      </c>
    </row>
    <row r="69" spans="1:4" x14ac:dyDescent="0.3">
      <c r="A69" t="s">
        <v>190</v>
      </c>
      <c r="B69" t="s">
        <v>24</v>
      </c>
      <c r="C69" t="s">
        <v>24</v>
      </c>
      <c r="D69" t="str">
        <f t="shared" si="1"/>
        <v>CUST013</v>
      </c>
    </row>
    <row r="70" spans="1:4" x14ac:dyDescent="0.3">
      <c r="A70" t="s">
        <v>191</v>
      </c>
      <c r="B70" t="s">
        <v>192</v>
      </c>
      <c r="C70" t="s">
        <v>192</v>
      </c>
      <c r="D70" t="str">
        <f t="shared" si="1"/>
        <v>CUST033</v>
      </c>
    </row>
    <row r="71" spans="1:4" x14ac:dyDescent="0.3">
      <c r="A71" t="s">
        <v>194</v>
      </c>
      <c r="B71" t="s">
        <v>192</v>
      </c>
      <c r="C71" t="s">
        <v>192</v>
      </c>
      <c r="D71" t="str">
        <f t="shared" si="1"/>
        <v>CUST033</v>
      </c>
    </row>
    <row r="72" spans="1:4" x14ac:dyDescent="0.3">
      <c r="A72" t="s">
        <v>195</v>
      </c>
      <c r="B72" t="s">
        <v>196</v>
      </c>
      <c r="C72" t="s">
        <v>196</v>
      </c>
      <c r="D72" t="str">
        <f t="shared" si="1"/>
        <v>CUST047</v>
      </c>
    </row>
    <row r="73" spans="1:4" x14ac:dyDescent="0.3">
      <c r="A73" t="s">
        <v>198</v>
      </c>
      <c r="B73" t="s">
        <v>72</v>
      </c>
      <c r="C73" t="s">
        <v>72</v>
      </c>
      <c r="D73" t="str">
        <f t="shared" si="1"/>
        <v>CUST041</v>
      </c>
    </row>
    <row r="74" spans="1:4" x14ac:dyDescent="0.3">
      <c r="A74" t="s">
        <v>199</v>
      </c>
      <c r="B74" t="s">
        <v>65</v>
      </c>
      <c r="C74" t="s">
        <v>65</v>
      </c>
      <c r="D74" t="str">
        <f t="shared" si="1"/>
        <v>CUST026</v>
      </c>
    </row>
    <row r="75" spans="1:4" x14ac:dyDescent="0.3">
      <c r="A75" t="s">
        <v>200</v>
      </c>
      <c r="B75" t="s">
        <v>150</v>
      </c>
      <c r="C75" t="s">
        <v>150</v>
      </c>
      <c r="D75" t="str">
        <f t="shared" si="1"/>
        <v>CUST040</v>
      </c>
    </row>
    <row r="76" spans="1:4" x14ac:dyDescent="0.3">
      <c r="A76" t="s">
        <v>201</v>
      </c>
      <c r="B76" t="s">
        <v>24</v>
      </c>
      <c r="C76" t="s">
        <v>24</v>
      </c>
      <c r="D76" t="str">
        <f t="shared" si="1"/>
        <v>CUST013</v>
      </c>
    </row>
    <row r="77" spans="1:4" x14ac:dyDescent="0.3">
      <c r="A77" t="s">
        <v>202</v>
      </c>
      <c r="B77" t="s">
        <v>182</v>
      </c>
      <c r="C77" t="s">
        <v>182</v>
      </c>
      <c r="D77" t="str">
        <f t="shared" si="1"/>
        <v>CUST007</v>
      </c>
    </row>
    <row r="78" spans="1:4" x14ac:dyDescent="0.3">
      <c r="A78" t="s">
        <v>203</v>
      </c>
      <c r="B78" t="s">
        <v>196</v>
      </c>
      <c r="C78" t="s">
        <v>196</v>
      </c>
      <c r="D78" t="str">
        <f t="shared" si="1"/>
        <v>CUST047</v>
      </c>
    </row>
    <row r="79" spans="1:4" x14ac:dyDescent="0.3">
      <c r="A79" t="s">
        <v>204</v>
      </c>
      <c r="B79" t="s">
        <v>96</v>
      </c>
      <c r="C79" t="s">
        <v>96</v>
      </c>
      <c r="D79" t="str">
        <f t="shared" si="1"/>
        <v>CUST018</v>
      </c>
    </row>
    <row r="80" spans="1:4" x14ac:dyDescent="0.3">
      <c r="A80" t="s">
        <v>205</v>
      </c>
      <c r="B80" t="s">
        <v>147</v>
      </c>
      <c r="C80" t="s">
        <v>147</v>
      </c>
      <c r="D80" t="str">
        <f t="shared" si="1"/>
        <v>CUST019</v>
      </c>
    </row>
    <row r="81" spans="1:4" x14ac:dyDescent="0.3">
      <c r="A81" t="s">
        <v>206</v>
      </c>
      <c r="B81" t="s">
        <v>86</v>
      </c>
      <c r="C81" t="s">
        <v>86</v>
      </c>
      <c r="D81" t="str">
        <f t="shared" si="1"/>
        <v>CUST025</v>
      </c>
    </row>
    <row r="82" spans="1:4" x14ac:dyDescent="0.3">
      <c r="A82" t="s">
        <v>207</v>
      </c>
      <c r="B82" t="s">
        <v>147</v>
      </c>
      <c r="C82" t="s">
        <v>147</v>
      </c>
      <c r="D82" t="str">
        <f t="shared" si="1"/>
        <v>CUST019</v>
      </c>
    </row>
    <row r="83" spans="1:4" x14ac:dyDescent="0.3">
      <c r="A83" t="s">
        <v>208</v>
      </c>
      <c r="B83" t="s">
        <v>86</v>
      </c>
      <c r="C83" t="s">
        <v>86</v>
      </c>
      <c r="D83" t="str">
        <f t="shared" si="1"/>
        <v>CUST025</v>
      </c>
    </row>
    <row r="84" spans="1:4" x14ac:dyDescent="0.3">
      <c r="A84" t="s">
        <v>209</v>
      </c>
      <c r="B84" t="s">
        <v>120</v>
      </c>
      <c r="C84" t="s">
        <v>120</v>
      </c>
      <c r="D84" t="str">
        <f t="shared" si="1"/>
        <v>CUST030</v>
      </c>
    </row>
    <row r="85" spans="1:4" x14ac:dyDescent="0.3">
      <c r="A85" t="s">
        <v>210</v>
      </c>
      <c r="B85" t="s">
        <v>211</v>
      </c>
      <c r="C85" t="s">
        <v>211</v>
      </c>
      <c r="D85" t="str">
        <f t="shared" si="1"/>
        <v>CUST016</v>
      </c>
    </row>
    <row r="86" spans="1:4" x14ac:dyDescent="0.3">
      <c r="A86" t="s">
        <v>213</v>
      </c>
      <c r="B86" t="s">
        <v>102</v>
      </c>
      <c r="C86" t="s">
        <v>102</v>
      </c>
      <c r="D86" t="str">
        <f t="shared" si="1"/>
        <v>CUST044</v>
      </c>
    </row>
    <row r="87" spans="1:4" x14ac:dyDescent="0.3">
      <c r="A87" t="s">
        <v>214</v>
      </c>
      <c r="B87" t="s">
        <v>89</v>
      </c>
      <c r="C87" t="s">
        <v>89</v>
      </c>
      <c r="D87" t="str">
        <f t="shared" si="1"/>
        <v>CUST010</v>
      </c>
    </row>
    <row r="88" spans="1:4" x14ac:dyDescent="0.3">
      <c r="A88" t="s">
        <v>215</v>
      </c>
      <c r="B88" t="s">
        <v>86</v>
      </c>
      <c r="C88" t="s">
        <v>86</v>
      </c>
      <c r="D88" t="str">
        <f t="shared" si="1"/>
        <v>CUST025</v>
      </c>
    </row>
    <row r="89" spans="1:4" x14ac:dyDescent="0.3">
      <c r="A89" t="s">
        <v>216</v>
      </c>
      <c r="B89" t="s">
        <v>182</v>
      </c>
      <c r="C89" t="s">
        <v>182</v>
      </c>
      <c r="D89" t="str">
        <f t="shared" si="1"/>
        <v>CUST007</v>
      </c>
    </row>
    <row r="90" spans="1:4" x14ac:dyDescent="0.3">
      <c r="A90" t="s">
        <v>217</v>
      </c>
      <c r="B90" t="s">
        <v>185</v>
      </c>
      <c r="C90" t="s">
        <v>185</v>
      </c>
      <c r="D90" t="str">
        <f t="shared" si="1"/>
        <v>CUST020</v>
      </c>
    </row>
    <row r="91" spans="1:4" x14ac:dyDescent="0.3">
      <c r="A91" t="s">
        <v>218</v>
      </c>
      <c r="B91" t="s">
        <v>65</v>
      </c>
      <c r="C91" t="s">
        <v>65</v>
      </c>
      <c r="D91" t="str">
        <f t="shared" si="1"/>
        <v>CUST026</v>
      </c>
    </row>
    <row r="92" spans="1:4" x14ac:dyDescent="0.3">
      <c r="A92" t="s">
        <v>219</v>
      </c>
      <c r="B92" t="s">
        <v>38</v>
      </c>
      <c r="C92" t="s">
        <v>38</v>
      </c>
      <c r="D92" t="str">
        <f t="shared" si="1"/>
        <v>CUST046</v>
      </c>
    </row>
    <row r="93" spans="1:4" x14ac:dyDescent="0.3">
      <c r="A93" t="s">
        <v>220</v>
      </c>
      <c r="B93" t="s">
        <v>158</v>
      </c>
      <c r="C93" t="s">
        <v>158</v>
      </c>
      <c r="D93" t="str">
        <f t="shared" si="1"/>
        <v>CUST028</v>
      </c>
    </row>
    <row r="94" spans="1:4" x14ac:dyDescent="0.3">
      <c r="A94" t="s">
        <v>221</v>
      </c>
      <c r="B94" t="s">
        <v>86</v>
      </c>
      <c r="C94" t="s">
        <v>86</v>
      </c>
      <c r="D94" t="str">
        <f t="shared" si="1"/>
        <v>CUST025</v>
      </c>
    </row>
    <row r="95" spans="1:4" x14ac:dyDescent="0.3">
      <c r="A95" t="s">
        <v>222</v>
      </c>
      <c r="B95" t="s">
        <v>196</v>
      </c>
      <c r="C95" t="s">
        <v>196</v>
      </c>
      <c r="D95" t="str">
        <f t="shared" si="1"/>
        <v>CUST047</v>
      </c>
    </row>
    <row r="96" spans="1:4" x14ac:dyDescent="0.3">
      <c r="A96" t="s">
        <v>223</v>
      </c>
      <c r="B96" t="s">
        <v>108</v>
      </c>
      <c r="C96" t="s">
        <v>108</v>
      </c>
      <c r="D96" t="str">
        <f t="shared" si="1"/>
        <v>CUST036</v>
      </c>
    </row>
    <row r="97" spans="1:4" x14ac:dyDescent="0.3">
      <c r="A97" t="s">
        <v>224</v>
      </c>
      <c r="B97" t="s">
        <v>102</v>
      </c>
      <c r="C97" t="s">
        <v>102</v>
      </c>
      <c r="D97" t="str">
        <f t="shared" si="1"/>
        <v>CUST044</v>
      </c>
    </row>
    <row r="98" spans="1:4" x14ac:dyDescent="0.3">
      <c r="A98" t="s">
        <v>225</v>
      </c>
      <c r="B98" t="s">
        <v>226</v>
      </c>
      <c r="C98" t="s">
        <v>226</v>
      </c>
      <c r="D98" t="str">
        <f t="shared" si="1"/>
        <v>CUST039</v>
      </c>
    </row>
    <row r="99" spans="1:4" x14ac:dyDescent="0.3">
      <c r="A99" t="s">
        <v>228</v>
      </c>
      <c r="B99" t="s">
        <v>144</v>
      </c>
      <c r="C99" t="s">
        <v>144</v>
      </c>
      <c r="D99" t="str">
        <f t="shared" si="1"/>
        <v>CUST035</v>
      </c>
    </row>
    <row r="100" spans="1:4" x14ac:dyDescent="0.3">
      <c r="A100" t="s">
        <v>229</v>
      </c>
      <c r="B100" t="s">
        <v>196</v>
      </c>
      <c r="C100" t="s">
        <v>196</v>
      </c>
      <c r="D100" t="str">
        <f t="shared" si="1"/>
        <v>CUST047</v>
      </c>
    </row>
    <row r="101" spans="1:4" x14ac:dyDescent="0.3">
      <c r="A101" t="s">
        <v>230</v>
      </c>
      <c r="B101" t="s">
        <v>231</v>
      </c>
      <c r="C101" t="s">
        <v>231</v>
      </c>
      <c r="D101" t="str">
        <f t="shared" si="1"/>
        <v>CUST034</v>
      </c>
    </row>
    <row r="102" spans="1:4" x14ac:dyDescent="0.3">
      <c r="A102" t="s">
        <v>233</v>
      </c>
      <c r="B102" t="s">
        <v>234</v>
      </c>
      <c r="C102" t="s">
        <v>234</v>
      </c>
      <c r="D102" t="str">
        <f t="shared" si="1"/>
        <v>CUST032</v>
      </c>
    </row>
    <row r="103" spans="1:4" x14ac:dyDescent="0.3">
      <c r="A103" t="s">
        <v>236</v>
      </c>
      <c r="B103" t="s">
        <v>231</v>
      </c>
      <c r="C103" t="s">
        <v>231</v>
      </c>
      <c r="D103" t="str">
        <f t="shared" si="1"/>
        <v>CUST034</v>
      </c>
    </row>
    <row r="104" spans="1:4" x14ac:dyDescent="0.3">
      <c r="A104" t="s">
        <v>237</v>
      </c>
      <c r="B104" t="s">
        <v>15</v>
      </c>
      <c r="C104" t="s">
        <v>15</v>
      </c>
      <c r="D104" t="str">
        <f t="shared" si="1"/>
        <v>CUST023</v>
      </c>
    </row>
    <row r="105" spans="1:4" x14ac:dyDescent="0.3">
      <c r="A105" t="s">
        <v>238</v>
      </c>
      <c r="B105" t="s">
        <v>226</v>
      </c>
      <c r="C105" t="s">
        <v>226</v>
      </c>
      <c r="D105" t="str">
        <f t="shared" si="1"/>
        <v>CUST039</v>
      </c>
    </row>
    <row r="106" spans="1:4" x14ac:dyDescent="0.3">
      <c r="A106" t="s">
        <v>239</v>
      </c>
      <c r="B106" t="s">
        <v>138</v>
      </c>
      <c r="C106" t="s">
        <v>138</v>
      </c>
      <c r="D106" t="str">
        <f t="shared" si="1"/>
        <v>CUST031</v>
      </c>
    </row>
    <row r="107" spans="1:4" x14ac:dyDescent="0.3">
      <c r="A107" t="s">
        <v>240</v>
      </c>
      <c r="B107" t="s">
        <v>132</v>
      </c>
      <c r="C107" t="s">
        <v>132</v>
      </c>
      <c r="D107" t="str">
        <f t="shared" si="1"/>
        <v>CUST002</v>
      </c>
    </row>
    <row r="108" spans="1:4" x14ac:dyDescent="0.3">
      <c r="A108" t="s">
        <v>241</v>
      </c>
      <c r="B108" t="s">
        <v>141</v>
      </c>
      <c r="C108" t="s">
        <v>141</v>
      </c>
      <c r="D108" t="str">
        <f t="shared" si="1"/>
        <v>CUST008</v>
      </c>
    </row>
    <row r="109" spans="1:4" x14ac:dyDescent="0.3">
      <c r="A109" t="s">
        <v>242</v>
      </c>
      <c r="B109" t="s">
        <v>55</v>
      </c>
      <c r="C109" t="s">
        <v>55</v>
      </c>
      <c r="D109" t="str">
        <f t="shared" si="1"/>
        <v>CUST017</v>
      </c>
    </row>
    <row r="110" spans="1:4" x14ac:dyDescent="0.3">
      <c r="A110" t="s">
        <v>243</v>
      </c>
      <c r="B110" t="s">
        <v>48</v>
      </c>
      <c r="C110" t="s">
        <v>48</v>
      </c>
      <c r="D110" t="str">
        <f t="shared" si="1"/>
        <v>CUST024</v>
      </c>
    </row>
    <row r="111" spans="1:4" x14ac:dyDescent="0.3">
      <c r="A111" t="s">
        <v>244</v>
      </c>
      <c r="B111" t="s">
        <v>38</v>
      </c>
      <c r="C111" t="s">
        <v>38</v>
      </c>
      <c r="D111" t="str">
        <f t="shared" si="1"/>
        <v>CUST046</v>
      </c>
    </row>
    <row r="112" spans="1:4" x14ac:dyDescent="0.3">
      <c r="A112" t="s">
        <v>245</v>
      </c>
      <c r="B112" t="s">
        <v>246</v>
      </c>
      <c r="C112" t="s">
        <v>246</v>
      </c>
      <c r="D112" t="str">
        <f t="shared" si="1"/>
        <v>CUST042</v>
      </c>
    </row>
    <row r="113" spans="1:4" x14ac:dyDescent="0.3">
      <c r="A113" t="s">
        <v>248</v>
      </c>
      <c r="B113" t="s">
        <v>65</v>
      </c>
      <c r="C113" t="s">
        <v>65</v>
      </c>
      <c r="D113" t="str">
        <f t="shared" si="1"/>
        <v>CUST026</v>
      </c>
    </row>
    <row r="114" spans="1:4" x14ac:dyDescent="0.3">
      <c r="A114" t="s">
        <v>249</v>
      </c>
      <c r="B114" t="s">
        <v>154</v>
      </c>
      <c r="C114" t="s">
        <v>154</v>
      </c>
      <c r="D114" t="str">
        <f t="shared" si="1"/>
        <v>CUST004</v>
      </c>
    </row>
    <row r="115" spans="1:4" x14ac:dyDescent="0.3">
      <c r="A115" t="s">
        <v>250</v>
      </c>
      <c r="B115" t="s">
        <v>147</v>
      </c>
      <c r="C115" t="s">
        <v>147</v>
      </c>
      <c r="D115" t="str">
        <f t="shared" si="1"/>
        <v>CUST019</v>
      </c>
    </row>
    <row r="116" spans="1:4" x14ac:dyDescent="0.3">
      <c r="A116" t="s">
        <v>251</v>
      </c>
      <c r="B116" t="s">
        <v>252</v>
      </c>
      <c r="C116" t="s">
        <v>252</v>
      </c>
      <c r="D116" t="str">
        <f t="shared" si="1"/>
        <v>CUST011</v>
      </c>
    </row>
    <row r="117" spans="1:4" x14ac:dyDescent="0.3">
      <c r="A117" t="s">
        <v>254</v>
      </c>
      <c r="B117" t="s">
        <v>72</v>
      </c>
      <c r="C117" t="s">
        <v>72</v>
      </c>
      <c r="D117" t="str">
        <f t="shared" si="1"/>
        <v>CUST041</v>
      </c>
    </row>
    <row r="118" spans="1:4" x14ac:dyDescent="0.3">
      <c r="A118" t="s">
        <v>255</v>
      </c>
      <c r="B118" t="s">
        <v>234</v>
      </c>
      <c r="C118" t="s">
        <v>234</v>
      </c>
      <c r="D118" t="str">
        <f t="shared" si="1"/>
        <v>CUST032</v>
      </c>
    </row>
    <row r="119" spans="1:4" x14ac:dyDescent="0.3">
      <c r="A119" t="s">
        <v>256</v>
      </c>
      <c r="B119" t="s">
        <v>112</v>
      </c>
      <c r="C119" t="s">
        <v>112</v>
      </c>
      <c r="D119" t="str">
        <f t="shared" si="1"/>
        <v>CUST014</v>
      </c>
    </row>
    <row r="120" spans="1:4" x14ac:dyDescent="0.3">
      <c r="A120" t="s">
        <v>257</v>
      </c>
      <c r="B120" t="s">
        <v>99</v>
      </c>
      <c r="C120" t="s">
        <v>99</v>
      </c>
      <c r="D120" t="str">
        <f t="shared" si="1"/>
        <v>CUST012</v>
      </c>
    </row>
    <row r="121" spans="1:4" x14ac:dyDescent="0.3">
      <c r="A121" t="s">
        <v>258</v>
      </c>
      <c r="B121" t="s">
        <v>259</v>
      </c>
      <c r="C121" t="s">
        <v>259</v>
      </c>
      <c r="D121" t="str">
        <f t="shared" si="1"/>
        <v>CUST015</v>
      </c>
    </row>
    <row r="122" spans="1:4" x14ac:dyDescent="0.3">
      <c r="A122" t="s">
        <v>261</v>
      </c>
      <c r="B122" t="s">
        <v>42</v>
      </c>
      <c r="C122" t="s">
        <v>42</v>
      </c>
      <c r="D122" t="str">
        <f t="shared" si="1"/>
        <v>CUST003</v>
      </c>
    </row>
    <row r="123" spans="1:4" x14ac:dyDescent="0.3">
      <c r="A123" t="s">
        <v>262</v>
      </c>
      <c r="B123" t="s">
        <v>89</v>
      </c>
      <c r="C123" t="s">
        <v>89</v>
      </c>
      <c r="D123" t="str">
        <f t="shared" si="1"/>
        <v>CUST010</v>
      </c>
    </row>
    <row r="124" spans="1:4" x14ac:dyDescent="0.3">
      <c r="A124" t="s">
        <v>263</v>
      </c>
      <c r="B124" t="s">
        <v>234</v>
      </c>
      <c r="C124" t="s">
        <v>234</v>
      </c>
      <c r="D124" t="str">
        <f t="shared" si="1"/>
        <v>CUST032</v>
      </c>
    </row>
    <row r="125" spans="1:4" x14ac:dyDescent="0.3">
      <c r="A125" t="s">
        <v>264</v>
      </c>
      <c r="B125" t="s">
        <v>211</v>
      </c>
      <c r="C125" t="s">
        <v>211</v>
      </c>
      <c r="D125" t="str">
        <f t="shared" si="1"/>
        <v>CUST016</v>
      </c>
    </row>
    <row r="126" spans="1:4" x14ac:dyDescent="0.3">
      <c r="A126" t="s">
        <v>265</v>
      </c>
      <c r="B126" t="s">
        <v>231</v>
      </c>
      <c r="C126" t="s">
        <v>231</v>
      </c>
      <c r="D126" t="str">
        <f t="shared" si="1"/>
        <v>CUST034</v>
      </c>
    </row>
    <row r="127" spans="1:4" x14ac:dyDescent="0.3">
      <c r="A127" t="s">
        <v>266</v>
      </c>
      <c r="B127" t="s">
        <v>147</v>
      </c>
      <c r="C127" t="s">
        <v>147</v>
      </c>
      <c r="D127" t="str">
        <f t="shared" si="1"/>
        <v>CUST019</v>
      </c>
    </row>
    <row r="128" spans="1:4" x14ac:dyDescent="0.3">
      <c r="A128" t="s">
        <v>267</v>
      </c>
      <c r="B128" t="s">
        <v>83</v>
      </c>
      <c r="C128" t="s">
        <v>83</v>
      </c>
      <c r="D128" t="str">
        <f t="shared" si="1"/>
        <v>CUST027</v>
      </c>
    </row>
    <row r="129" spans="1:4" x14ac:dyDescent="0.3">
      <c r="A129" t="s">
        <v>268</v>
      </c>
      <c r="B129" t="s">
        <v>96</v>
      </c>
      <c r="C129" t="s">
        <v>96</v>
      </c>
      <c r="D129" t="str">
        <f t="shared" si="1"/>
        <v>CUST018</v>
      </c>
    </row>
    <row r="130" spans="1:4" x14ac:dyDescent="0.3">
      <c r="A130" t="s">
        <v>269</v>
      </c>
      <c r="B130" t="s">
        <v>171</v>
      </c>
      <c r="C130" t="s">
        <v>171</v>
      </c>
      <c r="D130" t="str">
        <f t="shared" si="1"/>
        <v>CUST049</v>
      </c>
    </row>
    <row r="131" spans="1:4" x14ac:dyDescent="0.3">
      <c r="A131" t="s">
        <v>270</v>
      </c>
      <c r="B131" t="s">
        <v>150</v>
      </c>
      <c r="C131" t="s">
        <v>150</v>
      </c>
      <c r="D131" t="str">
        <f t="shared" si="1"/>
        <v>CUST040</v>
      </c>
    </row>
    <row r="132" spans="1:4" x14ac:dyDescent="0.3">
      <c r="A132" t="s">
        <v>271</v>
      </c>
      <c r="B132" t="s">
        <v>226</v>
      </c>
      <c r="C132" t="s">
        <v>226</v>
      </c>
      <c r="D132" t="str">
        <f t="shared" ref="D132:D195" si="2">IF(COUNTIF($C:$C,B132)&gt;0,B132,"")</f>
        <v>CUST039</v>
      </c>
    </row>
    <row r="133" spans="1:4" x14ac:dyDescent="0.3">
      <c r="A133" t="s">
        <v>272</v>
      </c>
      <c r="B133" t="s">
        <v>226</v>
      </c>
      <c r="C133" t="s">
        <v>226</v>
      </c>
      <c r="D133" t="str">
        <f t="shared" si="2"/>
        <v>CUST039</v>
      </c>
    </row>
    <row r="134" spans="1:4" x14ac:dyDescent="0.3">
      <c r="A134" t="s">
        <v>273</v>
      </c>
      <c r="B134" t="s">
        <v>38</v>
      </c>
      <c r="C134" t="s">
        <v>38</v>
      </c>
      <c r="D134" t="str">
        <f t="shared" si="2"/>
        <v>CUST046</v>
      </c>
    </row>
    <row r="135" spans="1:4" x14ac:dyDescent="0.3">
      <c r="A135" t="s">
        <v>274</v>
      </c>
      <c r="B135" t="s">
        <v>154</v>
      </c>
      <c r="C135" t="s">
        <v>154</v>
      </c>
      <c r="D135" t="str">
        <f t="shared" si="2"/>
        <v>CUST004</v>
      </c>
    </row>
    <row r="136" spans="1:4" x14ac:dyDescent="0.3">
      <c r="A136" t="s">
        <v>275</v>
      </c>
      <c r="B136" t="s">
        <v>158</v>
      </c>
      <c r="C136" t="s">
        <v>158</v>
      </c>
      <c r="D136" t="str">
        <f t="shared" si="2"/>
        <v>CUST028</v>
      </c>
    </row>
    <row r="137" spans="1:4" x14ac:dyDescent="0.3">
      <c r="A137" t="s">
        <v>276</v>
      </c>
      <c r="B137" t="s">
        <v>171</v>
      </c>
      <c r="C137" t="s">
        <v>171</v>
      </c>
      <c r="D137" t="str">
        <f t="shared" si="2"/>
        <v>CUST049</v>
      </c>
    </row>
    <row r="138" spans="1:4" x14ac:dyDescent="0.3">
      <c r="A138" t="s">
        <v>277</v>
      </c>
      <c r="B138" t="s">
        <v>15</v>
      </c>
      <c r="C138" t="s">
        <v>15</v>
      </c>
      <c r="D138" t="str">
        <f t="shared" si="2"/>
        <v>CUST023</v>
      </c>
    </row>
    <row r="139" spans="1:4" x14ac:dyDescent="0.3">
      <c r="A139" t="s">
        <v>278</v>
      </c>
      <c r="B139" t="s">
        <v>65</v>
      </c>
      <c r="C139" t="s">
        <v>65</v>
      </c>
      <c r="D139" t="str">
        <f t="shared" si="2"/>
        <v>CUST026</v>
      </c>
    </row>
    <row r="140" spans="1:4" x14ac:dyDescent="0.3">
      <c r="A140" t="s">
        <v>279</v>
      </c>
      <c r="B140" t="s">
        <v>99</v>
      </c>
      <c r="C140" t="s">
        <v>99</v>
      </c>
      <c r="D140" t="str">
        <f t="shared" si="2"/>
        <v>CUST012</v>
      </c>
    </row>
    <row r="141" spans="1:4" x14ac:dyDescent="0.3">
      <c r="A141" t="s">
        <v>280</v>
      </c>
      <c r="B141" t="s">
        <v>89</v>
      </c>
      <c r="C141" t="s">
        <v>89</v>
      </c>
      <c r="D141" t="str">
        <f t="shared" si="2"/>
        <v>CUST010</v>
      </c>
    </row>
    <row r="142" spans="1:4" x14ac:dyDescent="0.3">
      <c r="A142" t="s">
        <v>281</v>
      </c>
      <c r="B142" t="s">
        <v>185</v>
      </c>
      <c r="C142" t="s">
        <v>185</v>
      </c>
      <c r="D142" t="str">
        <f t="shared" si="2"/>
        <v>CUST020</v>
      </c>
    </row>
    <row r="143" spans="1:4" x14ac:dyDescent="0.3">
      <c r="A143" t="s">
        <v>282</v>
      </c>
      <c r="B143" t="s">
        <v>72</v>
      </c>
      <c r="C143" t="s">
        <v>72</v>
      </c>
      <c r="D143" t="str">
        <f t="shared" si="2"/>
        <v>CUST041</v>
      </c>
    </row>
    <row r="144" spans="1:4" x14ac:dyDescent="0.3">
      <c r="A144" t="s">
        <v>283</v>
      </c>
      <c r="B144" t="s">
        <v>15</v>
      </c>
      <c r="C144" t="s">
        <v>15</v>
      </c>
      <c r="D144" t="str">
        <f t="shared" si="2"/>
        <v>CUST023</v>
      </c>
    </row>
    <row r="145" spans="1:4" x14ac:dyDescent="0.3">
      <c r="A145" t="s">
        <v>284</v>
      </c>
      <c r="B145" t="s">
        <v>99</v>
      </c>
      <c r="C145" t="s">
        <v>99</v>
      </c>
      <c r="D145" t="str">
        <f t="shared" si="2"/>
        <v>CUST012</v>
      </c>
    </row>
    <row r="146" spans="1:4" x14ac:dyDescent="0.3">
      <c r="A146" t="s">
        <v>285</v>
      </c>
      <c r="B146" t="s">
        <v>154</v>
      </c>
      <c r="C146" t="s">
        <v>154</v>
      </c>
      <c r="D146" t="str">
        <f t="shared" si="2"/>
        <v>CUST004</v>
      </c>
    </row>
    <row r="147" spans="1:4" x14ac:dyDescent="0.3">
      <c r="A147" t="s">
        <v>286</v>
      </c>
      <c r="B147" t="s">
        <v>83</v>
      </c>
      <c r="C147" t="s">
        <v>83</v>
      </c>
      <c r="D147" t="str">
        <f t="shared" si="2"/>
        <v>CUST027</v>
      </c>
    </row>
    <row r="148" spans="1:4" x14ac:dyDescent="0.3">
      <c r="A148" t="s">
        <v>287</v>
      </c>
      <c r="B148" t="s">
        <v>234</v>
      </c>
      <c r="C148" t="s">
        <v>234</v>
      </c>
      <c r="D148" t="str">
        <f t="shared" si="2"/>
        <v>CUST032</v>
      </c>
    </row>
    <row r="149" spans="1:4" x14ac:dyDescent="0.3">
      <c r="A149" t="s">
        <v>288</v>
      </c>
      <c r="B149" t="s">
        <v>86</v>
      </c>
      <c r="C149" t="s">
        <v>86</v>
      </c>
      <c r="D149" t="str">
        <f t="shared" si="2"/>
        <v>CUST025</v>
      </c>
    </row>
    <row r="150" spans="1:4" x14ac:dyDescent="0.3">
      <c r="A150" t="s">
        <v>289</v>
      </c>
      <c r="B150" t="s">
        <v>123</v>
      </c>
      <c r="C150" t="s">
        <v>123</v>
      </c>
      <c r="D150" t="str">
        <f t="shared" si="2"/>
        <v>CUST029</v>
      </c>
    </row>
    <row r="151" spans="1:4" x14ac:dyDescent="0.3">
      <c r="A151" t="s">
        <v>290</v>
      </c>
      <c r="B151" t="s">
        <v>192</v>
      </c>
      <c r="C151" t="s">
        <v>192</v>
      </c>
      <c r="D151" t="str">
        <f t="shared" si="2"/>
        <v>CUST033</v>
      </c>
    </row>
    <row r="152" spans="1:4" x14ac:dyDescent="0.3">
      <c r="A152" t="s">
        <v>291</v>
      </c>
      <c r="B152" t="s">
        <v>154</v>
      </c>
      <c r="C152" t="s">
        <v>154</v>
      </c>
      <c r="D152" t="str">
        <f t="shared" si="2"/>
        <v>CUST004</v>
      </c>
    </row>
    <row r="153" spans="1:4" x14ac:dyDescent="0.3">
      <c r="A153" t="s">
        <v>292</v>
      </c>
      <c r="B153" t="s">
        <v>293</v>
      </c>
      <c r="C153" t="s">
        <v>293</v>
      </c>
      <c r="D153" t="str">
        <f t="shared" si="2"/>
        <v>CUST045</v>
      </c>
    </row>
    <row r="154" spans="1:4" x14ac:dyDescent="0.3">
      <c r="A154" t="s">
        <v>295</v>
      </c>
      <c r="B154" t="s">
        <v>112</v>
      </c>
      <c r="C154" t="s">
        <v>112</v>
      </c>
      <c r="D154" t="str">
        <f t="shared" si="2"/>
        <v>CUST014</v>
      </c>
    </row>
    <row r="155" spans="1:4" x14ac:dyDescent="0.3">
      <c r="A155" t="s">
        <v>296</v>
      </c>
      <c r="B155" t="s">
        <v>29</v>
      </c>
      <c r="C155" t="s">
        <v>29</v>
      </c>
      <c r="D155" t="str">
        <f t="shared" si="2"/>
        <v>CUST021</v>
      </c>
    </row>
    <row r="156" spans="1:4" x14ac:dyDescent="0.3">
      <c r="A156" t="s">
        <v>297</v>
      </c>
      <c r="B156" t="s">
        <v>55</v>
      </c>
      <c r="C156" t="s">
        <v>55</v>
      </c>
      <c r="D156" t="str">
        <f t="shared" si="2"/>
        <v>CUST017</v>
      </c>
    </row>
    <row r="157" spans="1:4" x14ac:dyDescent="0.3">
      <c r="A157" t="s">
        <v>298</v>
      </c>
      <c r="B157" t="s">
        <v>24</v>
      </c>
      <c r="C157" t="s">
        <v>24</v>
      </c>
      <c r="D157" t="str">
        <f t="shared" si="2"/>
        <v>CUST013</v>
      </c>
    </row>
    <row r="158" spans="1:4" x14ac:dyDescent="0.3">
      <c r="A158" t="s">
        <v>299</v>
      </c>
      <c r="B158" t="s">
        <v>86</v>
      </c>
      <c r="C158" t="s">
        <v>86</v>
      </c>
      <c r="D158" t="str">
        <f t="shared" si="2"/>
        <v>CUST025</v>
      </c>
    </row>
    <row r="159" spans="1:4" x14ac:dyDescent="0.3">
      <c r="A159" t="s">
        <v>300</v>
      </c>
      <c r="B159" t="s">
        <v>252</v>
      </c>
      <c r="C159" t="s">
        <v>252</v>
      </c>
      <c r="D159" t="str">
        <f t="shared" si="2"/>
        <v>CUST011</v>
      </c>
    </row>
    <row r="160" spans="1:4" x14ac:dyDescent="0.3">
      <c r="A160" t="s">
        <v>301</v>
      </c>
      <c r="B160" t="s">
        <v>48</v>
      </c>
      <c r="C160" t="s">
        <v>48</v>
      </c>
      <c r="D160" t="str">
        <f t="shared" si="2"/>
        <v>CUST024</v>
      </c>
    </row>
    <row r="161" spans="1:4" x14ac:dyDescent="0.3">
      <c r="A161" t="s">
        <v>302</v>
      </c>
      <c r="B161" t="s">
        <v>108</v>
      </c>
      <c r="C161" t="s">
        <v>108</v>
      </c>
      <c r="D161" t="str">
        <f t="shared" si="2"/>
        <v>CUST036</v>
      </c>
    </row>
    <row r="162" spans="1:4" x14ac:dyDescent="0.3">
      <c r="A162" t="s">
        <v>303</v>
      </c>
      <c r="B162" t="s">
        <v>304</v>
      </c>
      <c r="C162" t="s">
        <v>304</v>
      </c>
      <c r="D162" t="str">
        <f t="shared" si="2"/>
        <v>CUST005</v>
      </c>
    </row>
    <row r="163" spans="1:4" x14ac:dyDescent="0.3">
      <c r="A163" t="s">
        <v>306</v>
      </c>
      <c r="B163" t="s">
        <v>141</v>
      </c>
      <c r="C163" t="s">
        <v>141</v>
      </c>
      <c r="D163" t="str">
        <f t="shared" si="2"/>
        <v>CUST008</v>
      </c>
    </row>
    <row r="164" spans="1:4" x14ac:dyDescent="0.3">
      <c r="A164" t="s">
        <v>307</v>
      </c>
      <c r="B164" t="s">
        <v>120</v>
      </c>
      <c r="C164" t="s">
        <v>120</v>
      </c>
      <c r="D164" t="str">
        <f t="shared" si="2"/>
        <v>CUST030</v>
      </c>
    </row>
    <row r="165" spans="1:4" x14ac:dyDescent="0.3">
      <c r="A165" t="s">
        <v>308</v>
      </c>
      <c r="B165" t="s">
        <v>72</v>
      </c>
      <c r="C165" t="s">
        <v>72</v>
      </c>
      <c r="D165" t="str">
        <f t="shared" si="2"/>
        <v>CUST041</v>
      </c>
    </row>
    <row r="166" spans="1:4" x14ac:dyDescent="0.3">
      <c r="A166" t="s">
        <v>309</v>
      </c>
      <c r="B166" t="s">
        <v>182</v>
      </c>
      <c r="C166" t="s">
        <v>182</v>
      </c>
      <c r="D166" t="str">
        <f t="shared" si="2"/>
        <v>CUST007</v>
      </c>
    </row>
    <row r="167" spans="1:4" x14ac:dyDescent="0.3">
      <c r="A167" t="s">
        <v>310</v>
      </c>
      <c r="B167" t="s">
        <v>138</v>
      </c>
      <c r="C167" t="s">
        <v>138</v>
      </c>
      <c r="D167" t="str">
        <f t="shared" si="2"/>
        <v>CUST031</v>
      </c>
    </row>
    <row r="168" spans="1:4" x14ac:dyDescent="0.3">
      <c r="A168" t="s">
        <v>311</v>
      </c>
      <c r="B168" t="s">
        <v>132</v>
      </c>
      <c r="C168" t="s">
        <v>132</v>
      </c>
      <c r="D168" t="str">
        <f t="shared" si="2"/>
        <v>CUST002</v>
      </c>
    </row>
    <row r="169" spans="1:4" x14ac:dyDescent="0.3">
      <c r="A169" t="s">
        <v>312</v>
      </c>
      <c r="B169" t="s">
        <v>182</v>
      </c>
      <c r="C169" t="s">
        <v>182</v>
      </c>
      <c r="D169" t="str">
        <f t="shared" si="2"/>
        <v>CUST007</v>
      </c>
    </row>
    <row r="170" spans="1:4" x14ac:dyDescent="0.3">
      <c r="A170" t="s">
        <v>313</v>
      </c>
      <c r="B170" t="s">
        <v>147</v>
      </c>
      <c r="C170" t="s">
        <v>147</v>
      </c>
      <c r="D170" t="str">
        <f t="shared" si="2"/>
        <v>CUST019</v>
      </c>
    </row>
    <row r="171" spans="1:4" x14ac:dyDescent="0.3">
      <c r="A171" t="s">
        <v>314</v>
      </c>
      <c r="B171" t="s">
        <v>42</v>
      </c>
      <c r="C171" t="s">
        <v>42</v>
      </c>
      <c r="D171" t="str">
        <f t="shared" si="2"/>
        <v>CUST003</v>
      </c>
    </row>
    <row r="172" spans="1:4" x14ac:dyDescent="0.3">
      <c r="A172" t="s">
        <v>315</v>
      </c>
      <c r="B172" t="s">
        <v>112</v>
      </c>
      <c r="C172" t="s">
        <v>112</v>
      </c>
      <c r="D172" t="str">
        <f t="shared" si="2"/>
        <v>CUST014</v>
      </c>
    </row>
    <row r="173" spans="1:4" x14ac:dyDescent="0.3">
      <c r="A173" t="s">
        <v>316</v>
      </c>
      <c r="B173" t="s">
        <v>182</v>
      </c>
      <c r="C173" t="s">
        <v>182</v>
      </c>
      <c r="D173" t="str">
        <f t="shared" si="2"/>
        <v>CUST007</v>
      </c>
    </row>
    <row r="174" spans="1:4" x14ac:dyDescent="0.3">
      <c r="A174" t="s">
        <v>317</v>
      </c>
      <c r="B174" t="s">
        <v>29</v>
      </c>
      <c r="C174" t="s">
        <v>29</v>
      </c>
      <c r="D174" t="str">
        <f t="shared" si="2"/>
        <v>CUST021</v>
      </c>
    </row>
    <row r="175" spans="1:4" x14ac:dyDescent="0.3">
      <c r="A175" t="s">
        <v>318</v>
      </c>
      <c r="B175" t="s">
        <v>42</v>
      </c>
      <c r="C175" t="s">
        <v>42</v>
      </c>
      <c r="D175" t="str">
        <f t="shared" si="2"/>
        <v>CUST003</v>
      </c>
    </row>
    <row r="176" spans="1:4" x14ac:dyDescent="0.3">
      <c r="A176" t="s">
        <v>319</v>
      </c>
      <c r="B176" t="s">
        <v>120</v>
      </c>
      <c r="C176" t="s">
        <v>120</v>
      </c>
      <c r="D176" t="str">
        <f t="shared" si="2"/>
        <v>CUST030</v>
      </c>
    </row>
    <row r="177" spans="1:4" x14ac:dyDescent="0.3">
      <c r="A177" t="s">
        <v>320</v>
      </c>
      <c r="B177" t="s">
        <v>59</v>
      </c>
      <c r="C177" t="s">
        <v>59</v>
      </c>
      <c r="D177" t="str">
        <f t="shared" si="2"/>
        <v>CUST009</v>
      </c>
    </row>
    <row r="178" spans="1:4" x14ac:dyDescent="0.3">
      <c r="A178" t="s">
        <v>321</v>
      </c>
      <c r="B178" t="s">
        <v>108</v>
      </c>
      <c r="C178" t="s">
        <v>108</v>
      </c>
      <c r="D178" t="str">
        <f t="shared" si="2"/>
        <v>CUST036</v>
      </c>
    </row>
    <row r="179" spans="1:4" x14ac:dyDescent="0.3">
      <c r="A179" t="s">
        <v>322</v>
      </c>
      <c r="B179" t="s">
        <v>86</v>
      </c>
      <c r="C179" t="s">
        <v>86</v>
      </c>
      <c r="D179" t="str">
        <f t="shared" si="2"/>
        <v>CUST025</v>
      </c>
    </row>
    <row r="180" spans="1:4" x14ac:dyDescent="0.3">
      <c r="A180" t="s">
        <v>323</v>
      </c>
      <c r="B180" t="s">
        <v>147</v>
      </c>
      <c r="C180" t="s">
        <v>147</v>
      </c>
      <c r="D180" t="str">
        <f t="shared" si="2"/>
        <v>CUST019</v>
      </c>
    </row>
    <row r="181" spans="1:4" x14ac:dyDescent="0.3">
      <c r="A181" t="s">
        <v>324</v>
      </c>
      <c r="B181" t="s">
        <v>325</v>
      </c>
      <c r="C181" t="s">
        <v>325</v>
      </c>
      <c r="D181" t="str">
        <f t="shared" si="2"/>
        <v>CUST037</v>
      </c>
    </row>
    <row r="182" spans="1:4" x14ac:dyDescent="0.3">
      <c r="A182" t="s">
        <v>327</v>
      </c>
      <c r="B182" t="s">
        <v>129</v>
      </c>
      <c r="C182" t="s">
        <v>129</v>
      </c>
      <c r="D182" t="str">
        <f t="shared" si="2"/>
        <v>CUST006</v>
      </c>
    </row>
    <row r="183" spans="1:4" x14ac:dyDescent="0.3">
      <c r="A183" t="s">
        <v>328</v>
      </c>
      <c r="B183" t="s">
        <v>42</v>
      </c>
      <c r="C183" t="s">
        <v>42</v>
      </c>
      <c r="D183" t="str">
        <f t="shared" si="2"/>
        <v>CUST003</v>
      </c>
    </row>
    <row r="184" spans="1:4" x14ac:dyDescent="0.3">
      <c r="A184" t="s">
        <v>329</v>
      </c>
      <c r="B184" t="s">
        <v>65</v>
      </c>
      <c r="C184" t="s">
        <v>65</v>
      </c>
      <c r="D184" t="str">
        <f t="shared" si="2"/>
        <v>CUST026</v>
      </c>
    </row>
    <row r="185" spans="1:4" x14ac:dyDescent="0.3">
      <c r="A185" t="s">
        <v>330</v>
      </c>
      <c r="B185" t="s">
        <v>108</v>
      </c>
      <c r="C185" t="s">
        <v>108</v>
      </c>
      <c r="D185" t="str">
        <f t="shared" si="2"/>
        <v>CUST036</v>
      </c>
    </row>
    <row r="186" spans="1:4" x14ac:dyDescent="0.3">
      <c r="A186" t="s">
        <v>331</v>
      </c>
      <c r="B186" t="s">
        <v>93</v>
      </c>
      <c r="C186" t="s">
        <v>93</v>
      </c>
      <c r="D186" t="str">
        <f t="shared" si="2"/>
        <v>CUST048</v>
      </c>
    </row>
    <row r="187" spans="1:4" x14ac:dyDescent="0.3">
      <c r="A187" t="s">
        <v>332</v>
      </c>
      <c r="B187" t="s">
        <v>138</v>
      </c>
      <c r="C187" t="s">
        <v>138</v>
      </c>
      <c r="D187" t="str">
        <f t="shared" si="2"/>
        <v>CUST031</v>
      </c>
    </row>
    <row r="188" spans="1:4" x14ac:dyDescent="0.3">
      <c r="A188" t="s">
        <v>333</v>
      </c>
      <c r="B188" t="s">
        <v>78</v>
      </c>
      <c r="C188" t="s">
        <v>78</v>
      </c>
      <c r="D188" t="str">
        <f t="shared" si="2"/>
        <v>CUST038</v>
      </c>
    </row>
    <row r="189" spans="1:4" x14ac:dyDescent="0.3">
      <c r="A189" t="s">
        <v>334</v>
      </c>
      <c r="B189" t="s">
        <v>293</v>
      </c>
      <c r="C189" t="s">
        <v>293</v>
      </c>
      <c r="D189" t="str">
        <f t="shared" si="2"/>
        <v>CUST045</v>
      </c>
    </row>
    <row r="190" spans="1:4" x14ac:dyDescent="0.3">
      <c r="A190" t="s">
        <v>335</v>
      </c>
      <c r="B190" t="s">
        <v>86</v>
      </c>
      <c r="C190" t="s">
        <v>86</v>
      </c>
      <c r="D190" t="str">
        <f t="shared" si="2"/>
        <v>CUST025</v>
      </c>
    </row>
    <row r="191" spans="1:4" x14ac:dyDescent="0.3">
      <c r="A191" t="s">
        <v>336</v>
      </c>
      <c r="B191" t="s">
        <v>158</v>
      </c>
      <c r="C191" t="s">
        <v>158</v>
      </c>
      <c r="D191" t="str">
        <f t="shared" si="2"/>
        <v>CUST028</v>
      </c>
    </row>
    <row r="192" spans="1:4" x14ac:dyDescent="0.3">
      <c r="A192" t="s">
        <v>337</v>
      </c>
      <c r="B192" t="s">
        <v>120</v>
      </c>
      <c r="C192" t="s">
        <v>120</v>
      </c>
      <c r="D192" t="str">
        <f t="shared" si="2"/>
        <v>CUST030</v>
      </c>
    </row>
    <row r="193" spans="1:4" x14ac:dyDescent="0.3">
      <c r="A193" t="s">
        <v>338</v>
      </c>
      <c r="B193" t="s">
        <v>234</v>
      </c>
      <c r="C193" t="s">
        <v>234</v>
      </c>
      <c r="D193" t="str">
        <f t="shared" si="2"/>
        <v>CUST032</v>
      </c>
    </row>
    <row r="194" spans="1:4" x14ac:dyDescent="0.3">
      <c r="A194" t="s">
        <v>339</v>
      </c>
      <c r="B194" t="s">
        <v>226</v>
      </c>
      <c r="C194" t="s">
        <v>226</v>
      </c>
      <c r="D194" t="str">
        <f t="shared" si="2"/>
        <v>CUST039</v>
      </c>
    </row>
    <row r="195" spans="1:4" x14ac:dyDescent="0.3">
      <c r="A195" t="s">
        <v>340</v>
      </c>
      <c r="B195" t="s">
        <v>211</v>
      </c>
      <c r="C195" t="s">
        <v>211</v>
      </c>
      <c r="D195" t="str">
        <f t="shared" si="2"/>
        <v>CUST016</v>
      </c>
    </row>
    <row r="196" spans="1:4" x14ac:dyDescent="0.3">
      <c r="A196" t="s">
        <v>341</v>
      </c>
      <c r="B196" t="s">
        <v>59</v>
      </c>
      <c r="C196" t="s">
        <v>59</v>
      </c>
      <c r="D196" t="str">
        <f t="shared" ref="D196:D251" si="3">IF(COUNTIF($C:$C,B196)&gt;0,B196,"")</f>
        <v>CUST009</v>
      </c>
    </row>
    <row r="197" spans="1:4" x14ac:dyDescent="0.3">
      <c r="A197" t="s">
        <v>342</v>
      </c>
      <c r="B197" t="s">
        <v>129</v>
      </c>
      <c r="C197" t="s">
        <v>129</v>
      </c>
      <c r="D197" t="str">
        <f t="shared" si="3"/>
        <v>CUST006</v>
      </c>
    </row>
    <row r="198" spans="1:4" x14ac:dyDescent="0.3">
      <c r="A198" t="s">
        <v>343</v>
      </c>
      <c r="B198" t="s">
        <v>68</v>
      </c>
      <c r="C198" t="s">
        <v>68</v>
      </c>
      <c r="D198" t="str">
        <f t="shared" si="3"/>
        <v>CUST022</v>
      </c>
    </row>
    <row r="199" spans="1:4" x14ac:dyDescent="0.3">
      <c r="A199" t="s">
        <v>344</v>
      </c>
      <c r="B199" t="s">
        <v>48</v>
      </c>
      <c r="C199" t="s">
        <v>48</v>
      </c>
      <c r="D199" t="str">
        <f t="shared" si="3"/>
        <v>CUST024</v>
      </c>
    </row>
    <row r="200" spans="1:4" x14ac:dyDescent="0.3">
      <c r="A200" t="s">
        <v>345</v>
      </c>
      <c r="B200" t="s">
        <v>252</v>
      </c>
      <c r="C200" t="s">
        <v>252</v>
      </c>
      <c r="D200" t="str">
        <f t="shared" si="3"/>
        <v>CUST011</v>
      </c>
    </row>
    <row r="201" spans="1:4" x14ac:dyDescent="0.3">
      <c r="A201" t="s">
        <v>346</v>
      </c>
      <c r="B201" t="s">
        <v>86</v>
      </c>
      <c r="C201" t="s">
        <v>86</v>
      </c>
      <c r="D201" t="str">
        <f t="shared" si="3"/>
        <v>CUST025</v>
      </c>
    </row>
    <row r="202" spans="1:4" x14ac:dyDescent="0.3">
      <c r="A202" t="s">
        <v>347</v>
      </c>
      <c r="B202" t="s">
        <v>293</v>
      </c>
      <c r="C202" t="s">
        <v>293</v>
      </c>
      <c r="D202" t="str">
        <f t="shared" si="3"/>
        <v>CUST045</v>
      </c>
    </row>
    <row r="203" spans="1:4" x14ac:dyDescent="0.3">
      <c r="A203" t="s">
        <v>348</v>
      </c>
      <c r="B203" t="s">
        <v>65</v>
      </c>
      <c r="C203" t="s">
        <v>65</v>
      </c>
      <c r="D203" t="str">
        <f t="shared" si="3"/>
        <v>CUST026</v>
      </c>
    </row>
    <row r="204" spans="1:4" x14ac:dyDescent="0.3">
      <c r="A204" t="s">
        <v>349</v>
      </c>
      <c r="B204" t="s">
        <v>123</v>
      </c>
      <c r="C204" t="s">
        <v>123</v>
      </c>
      <c r="D204" t="str">
        <f t="shared" si="3"/>
        <v>CUST029</v>
      </c>
    </row>
    <row r="205" spans="1:4" x14ac:dyDescent="0.3">
      <c r="A205" t="s">
        <v>350</v>
      </c>
      <c r="B205" t="s">
        <v>42</v>
      </c>
      <c r="C205" t="s">
        <v>42</v>
      </c>
      <c r="D205" t="str">
        <f t="shared" si="3"/>
        <v>CUST003</v>
      </c>
    </row>
    <row r="206" spans="1:4" x14ac:dyDescent="0.3">
      <c r="A206" t="s">
        <v>351</v>
      </c>
      <c r="B206" t="s">
        <v>325</v>
      </c>
      <c r="C206" t="s">
        <v>325</v>
      </c>
      <c r="D206" t="str">
        <f t="shared" si="3"/>
        <v>CUST037</v>
      </c>
    </row>
    <row r="207" spans="1:4" x14ac:dyDescent="0.3">
      <c r="A207" t="s">
        <v>352</v>
      </c>
      <c r="B207" t="s">
        <v>246</v>
      </c>
      <c r="C207" t="s">
        <v>246</v>
      </c>
      <c r="D207" t="str">
        <f t="shared" si="3"/>
        <v>CUST042</v>
      </c>
    </row>
    <row r="208" spans="1:4" x14ac:dyDescent="0.3">
      <c r="A208" t="s">
        <v>353</v>
      </c>
      <c r="B208" t="s">
        <v>93</v>
      </c>
      <c r="C208" t="s">
        <v>93</v>
      </c>
      <c r="D208" t="str">
        <f t="shared" si="3"/>
        <v>CUST048</v>
      </c>
    </row>
    <row r="209" spans="1:4" x14ac:dyDescent="0.3">
      <c r="A209" t="s">
        <v>354</v>
      </c>
      <c r="B209" t="s">
        <v>150</v>
      </c>
      <c r="C209" t="s">
        <v>150</v>
      </c>
      <c r="D209" t="str">
        <f t="shared" si="3"/>
        <v>CUST040</v>
      </c>
    </row>
    <row r="210" spans="1:4" x14ac:dyDescent="0.3">
      <c r="A210" t="s">
        <v>355</v>
      </c>
      <c r="B210" t="s">
        <v>108</v>
      </c>
      <c r="C210" t="s">
        <v>108</v>
      </c>
      <c r="D210" t="str">
        <f t="shared" si="3"/>
        <v>CUST036</v>
      </c>
    </row>
    <row r="211" spans="1:4" x14ac:dyDescent="0.3">
      <c r="A211" t="s">
        <v>356</v>
      </c>
      <c r="B211" t="s">
        <v>29</v>
      </c>
      <c r="C211" t="s">
        <v>29</v>
      </c>
      <c r="D211" t="str">
        <f t="shared" si="3"/>
        <v>CUST021</v>
      </c>
    </row>
    <row r="212" spans="1:4" x14ac:dyDescent="0.3">
      <c r="A212" t="s">
        <v>357</v>
      </c>
      <c r="B212" t="s">
        <v>15</v>
      </c>
      <c r="C212" t="s">
        <v>15</v>
      </c>
      <c r="D212" t="str">
        <f t="shared" si="3"/>
        <v>CUST023</v>
      </c>
    </row>
    <row r="213" spans="1:4" x14ac:dyDescent="0.3">
      <c r="A213" t="s">
        <v>358</v>
      </c>
      <c r="B213" t="s">
        <v>259</v>
      </c>
      <c r="C213" t="s">
        <v>259</v>
      </c>
      <c r="D213" t="str">
        <f t="shared" si="3"/>
        <v>CUST015</v>
      </c>
    </row>
    <row r="214" spans="1:4" x14ac:dyDescent="0.3">
      <c r="A214" t="s">
        <v>359</v>
      </c>
      <c r="B214" t="s">
        <v>123</v>
      </c>
      <c r="C214" t="s">
        <v>123</v>
      </c>
      <c r="D214" t="str">
        <f t="shared" si="3"/>
        <v>CUST029</v>
      </c>
    </row>
    <row r="215" spans="1:4" x14ac:dyDescent="0.3">
      <c r="A215" t="s">
        <v>360</v>
      </c>
      <c r="B215" t="s">
        <v>42</v>
      </c>
      <c r="C215" t="s">
        <v>42</v>
      </c>
      <c r="D215" t="str">
        <f t="shared" si="3"/>
        <v>CUST003</v>
      </c>
    </row>
    <row r="216" spans="1:4" x14ac:dyDescent="0.3">
      <c r="A216" t="s">
        <v>361</v>
      </c>
      <c r="B216" t="s">
        <v>96</v>
      </c>
      <c r="C216" t="s">
        <v>96</v>
      </c>
      <c r="D216" t="str">
        <f t="shared" si="3"/>
        <v>CUST018</v>
      </c>
    </row>
    <row r="217" spans="1:4" x14ac:dyDescent="0.3">
      <c r="A217" t="s">
        <v>362</v>
      </c>
      <c r="B217" t="s">
        <v>192</v>
      </c>
      <c r="C217" t="s">
        <v>192</v>
      </c>
      <c r="D217" t="str">
        <f t="shared" si="3"/>
        <v>CUST033</v>
      </c>
    </row>
    <row r="218" spans="1:4" x14ac:dyDescent="0.3">
      <c r="A218" t="s">
        <v>363</v>
      </c>
      <c r="B218" t="s">
        <v>55</v>
      </c>
      <c r="C218" t="s">
        <v>55</v>
      </c>
      <c r="D218" t="str">
        <f t="shared" si="3"/>
        <v>CUST017</v>
      </c>
    </row>
    <row r="219" spans="1:4" x14ac:dyDescent="0.3">
      <c r="A219" t="s">
        <v>364</v>
      </c>
      <c r="B219" t="s">
        <v>150</v>
      </c>
      <c r="C219" t="s">
        <v>150</v>
      </c>
      <c r="D219" t="str">
        <f t="shared" si="3"/>
        <v>CUST040</v>
      </c>
    </row>
    <row r="220" spans="1:4" x14ac:dyDescent="0.3">
      <c r="A220" t="s">
        <v>365</v>
      </c>
      <c r="B220" t="s">
        <v>246</v>
      </c>
      <c r="C220" t="s">
        <v>246</v>
      </c>
      <c r="D220" t="str">
        <f t="shared" si="3"/>
        <v>CUST042</v>
      </c>
    </row>
    <row r="221" spans="1:4" x14ac:dyDescent="0.3">
      <c r="A221" t="s">
        <v>366</v>
      </c>
      <c r="B221" t="s">
        <v>325</v>
      </c>
      <c r="C221" t="s">
        <v>325</v>
      </c>
      <c r="D221" t="str">
        <f t="shared" si="3"/>
        <v>CUST037</v>
      </c>
    </row>
    <row r="222" spans="1:4" x14ac:dyDescent="0.3">
      <c r="A222" t="s">
        <v>367</v>
      </c>
      <c r="B222" t="s">
        <v>211</v>
      </c>
      <c r="C222" t="s">
        <v>211</v>
      </c>
      <c r="D222" t="str">
        <f t="shared" si="3"/>
        <v>CUST016</v>
      </c>
    </row>
    <row r="223" spans="1:4" x14ac:dyDescent="0.3">
      <c r="A223" t="s">
        <v>368</v>
      </c>
      <c r="B223" t="s">
        <v>138</v>
      </c>
      <c r="C223" t="s">
        <v>138</v>
      </c>
      <c r="D223" t="str">
        <f t="shared" si="3"/>
        <v>CUST031</v>
      </c>
    </row>
    <row r="224" spans="1:4" x14ac:dyDescent="0.3">
      <c r="A224" t="s">
        <v>369</v>
      </c>
      <c r="B224" t="s">
        <v>259</v>
      </c>
      <c r="C224" t="s">
        <v>259</v>
      </c>
      <c r="D224" t="str">
        <f t="shared" si="3"/>
        <v>CUST015</v>
      </c>
    </row>
    <row r="225" spans="1:4" x14ac:dyDescent="0.3">
      <c r="A225" t="s">
        <v>370</v>
      </c>
      <c r="B225" t="s">
        <v>93</v>
      </c>
      <c r="C225" t="s">
        <v>93</v>
      </c>
      <c r="D225" t="str">
        <f t="shared" si="3"/>
        <v>CUST048</v>
      </c>
    </row>
    <row r="226" spans="1:4" x14ac:dyDescent="0.3">
      <c r="A226" t="s">
        <v>371</v>
      </c>
      <c r="B226" t="s">
        <v>55</v>
      </c>
      <c r="C226" t="s">
        <v>55</v>
      </c>
      <c r="D226" t="str">
        <f t="shared" si="3"/>
        <v>CUST017</v>
      </c>
    </row>
    <row r="227" spans="1:4" x14ac:dyDescent="0.3">
      <c r="A227" t="s">
        <v>372</v>
      </c>
      <c r="B227" t="s">
        <v>226</v>
      </c>
      <c r="C227" t="s">
        <v>226</v>
      </c>
      <c r="D227" t="str">
        <f t="shared" si="3"/>
        <v>CUST039</v>
      </c>
    </row>
    <row r="228" spans="1:4" x14ac:dyDescent="0.3">
      <c r="A228" t="s">
        <v>373</v>
      </c>
      <c r="B228" t="s">
        <v>75</v>
      </c>
      <c r="C228" t="s">
        <v>75</v>
      </c>
      <c r="D228" t="str">
        <f t="shared" si="3"/>
        <v>CUST043</v>
      </c>
    </row>
    <row r="229" spans="1:4" x14ac:dyDescent="0.3">
      <c r="A229" t="s">
        <v>374</v>
      </c>
      <c r="B229" t="s">
        <v>15</v>
      </c>
      <c r="C229" t="s">
        <v>15</v>
      </c>
      <c r="D229" t="str">
        <f t="shared" si="3"/>
        <v>CUST023</v>
      </c>
    </row>
    <row r="230" spans="1:4" x14ac:dyDescent="0.3">
      <c r="A230" t="s">
        <v>375</v>
      </c>
      <c r="B230" t="s">
        <v>120</v>
      </c>
      <c r="C230" t="s">
        <v>120</v>
      </c>
      <c r="D230" t="str">
        <f t="shared" si="3"/>
        <v>CUST030</v>
      </c>
    </row>
    <row r="231" spans="1:4" x14ac:dyDescent="0.3">
      <c r="A231" t="s">
        <v>376</v>
      </c>
      <c r="B231" t="s">
        <v>226</v>
      </c>
      <c r="C231" t="s">
        <v>226</v>
      </c>
      <c r="D231" t="str">
        <f t="shared" si="3"/>
        <v>CUST039</v>
      </c>
    </row>
    <row r="232" spans="1:4" x14ac:dyDescent="0.3">
      <c r="A232" t="s">
        <v>377</v>
      </c>
      <c r="B232" t="s">
        <v>144</v>
      </c>
      <c r="C232" t="s">
        <v>144</v>
      </c>
      <c r="D232" t="str">
        <f t="shared" si="3"/>
        <v>CUST035</v>
      </c>
    </row>
    <row r="233" spans="1:4" x14ac:dyDescent="0.3">
      <c r="A233" t="s">
        <v>378</v>
      </c>
      <c r="B233" t="s">
        <v>55</v>
      </c>
      <c r="C233" t="s">
        <v>55</v>
      </c>
      <c r="D233" t="str">
        <f t="shared" si="3"/>
        <v>CUST017</v>
      </c>
    </row>
    <row r="234" spans="1:4" x14ac:dyDescent="0.3">
      <c r="A234" t="s">
        <v>379</v>
      </c>
      <c r="B234" t="s">
        <v>144</v>
      </c>
      <c r="C234" t="s">
        <v>144</v>
      </c>
      <c r="D234" t="str">
        <f t="shared" si="3"/>
        <v>CUST035</v>
      </c>
    </row>
    <row r="235" spans="1:4" x14ac:dyDescent="0.3">
      <c r="A235" t="s">
        <v>380</v>
      </c>
      <c r="B235" t="s">
        <v>192</v>
      </c>
      <c r="C235" t="s">
        <v>192</v>
      </c>
      <c r="D235" t="str">
        <f t="shared" si="3"/>
        <v>CUST033</v>
      </c>
    </row>
    <row r="236" spans="1:4" x14ac:dyDescent="0.3">
      <c r="A236" t="s">
        <v>381</v>
      </c>
      <c r="B236" t="s">
        <v>132</v>
      </c>
      <c r="C236" t="s">
        <v>132</v>
      </c>
      <c r="D236" t="str">
        <f t="shared" si="3"/>
        <v>CUST002</v>
      </c>
    </row>
    <row r="237" spans="1:4" x14ac:dyDescent="0.3">
      <c r="A237" t="s">
        <v>382</v>
      </c>
      <c r="B237" t="s">
        <v>150</v>
      </c>
      <c r="C237" t="s">
        <v>150</v>
      </c>
      <c r="D237" t="str">
        <f t="shared" si="3"/>
        <v>CUST040</v>
      </c>
    </row>
    <row r="238" spans="1:4" x14ac:dyDescent="0.3">
      <c r="A238" t="s">
        <v>383</v>
      </c>
      <c r="B238" t="s">
        <v>48</v>
      </c>
      <c r="C238" t="s">
        <v>48</v>
      </c>
      <c r="D238" t="str">
        <f t="shared" si="3"/>
        <v>CUST024</v>
      </c>
    </row>
    <row r="239" spans="1:4" x14ac:dyDescent="0.3">
      <c r="A239" t="s">
        <v>384</v>
      </c>
      <c r="B239" t="s">
        <v>15</v>
      </c>
      <c r="C239" t="s">
        <v>15</v>
      </c>
      <c r="D239" t="str">
        <f t="shared" si="3"/>
        <v>CUST023</v>
      </c>
    </row>
    <row r="240" spans="1:4" x14ac:dyDescent="0.3">
      <c r="A240" t="s">
        <v>385</v>
      </c>
      <c r="B240" t="s">
        <v>386</v>
      </c>
      <c r="C240" t="s">
        <v>386</v>
      </c>
      <c r="D240" t="str">
        <f t="shared" si="3"/>
        <v>CUST001</v>
      </c>
    </row>
    <row r="241" spans="1:4" x14ac:dyDescent="0.3">
      <c r="A241" t="s">
        <v>388</v>
      </c>
      <c r="B241" t="s">
        <v>102</v>
      </c>
      <c r="C241" t="s">
        <v>102</v>
      </c>
      <c r="D241" t="str">
        <f t="shared" si="3"/>
        <v>CUST044</v>
      </c>
    </row>
    <row r="242" spans="1:4" x14ac:dyDescent="0.3">
      <c r="A242" t="s">
        <v>389</v>
      </c>
      <c r="B242" t="s">
        <v>185</v>
      </c>
      <c r="C242" t="s">
        <v>185</v>
      </c>
      <c r="D242" t="str">
        <f t="shared" si="3"/>
        <v>CUST020</v>
      </c>
    </row>
    <row r="243" spans="1:4" x14ac:dyDescent="0.3">
      <c r="A243" t="s">
        <v>390</v>
      </c>
      <c r="B243" t="s">
        <v>93</v>
      </c>
      <c r="C243" t="s">
        <v>93</v>
      </c>
      <c r="D243" t="str">
        <f t="shared" si="3"/>
        <v>CUST048</v>
      </c>
    </row>
    <row r="244" spans="1:4" x14ac:dyDescent="0.3">
      <c r="A244" t="s">
        <v>391</v>
      </c>
      <c r="B244" t="s">
        <v>65</v>
      </c>
      <c r="C244" t="s">
        <v>65</v>
      </c>
      <c r="D244" t="str">
        <f t="shared" si="3"/>
        <v>CUST026</v>
      </c>
    </row>
    <row r="245" spans="1:4" x14ac:dyDescent="0.3">
      <c r="A245" t="s">
        <v>392</v>
      </c>
      <c r="B245" t="s">
        <v>102</v>
      </c>
      <c r="C245" t="s">
        <v>102</v>
      </c>
      <c r="D245" t="str">
        <f t="shared" si="3"/>
        <v>CUST044</v>
      </c>
    </row>
    <row r="246" spans="1:4" x14ac:dyDescent="0.3">
      <c r="A246" t="s">
        <v>393</v>
      </c>
      <c r="B246" t="s">
        <v>123</v>
      </c>
      <c r="C246" t="s">
        <v>123</v>
      </c>
      <c r="D246" t="str">
        <f t="shared" si="3"/>
        <v>CUST029</v>
      </c>
    </row>
    <row r="247" spans="1:4" x14ac:dyDescent="0.3">
      <c r="A247" t="s">
        <v>394</v>
      </c>
      <c r="B247" t="s">
        <v>93</v>
      </c>
      <c r="C247" t="s">
        <v>93</v>
      </c>
      <c r="D247" t="str">
        <f t="shared" si="3"/>
        <v>CUST048</v>
      </c>
    </row>
    <row r="248" spans="1:4" x14ac:dyDescent="0.3">
      <c r="A248" t="s">
        <v>395</v>
      </c>
      <c r="B248" t="s">
        <v>59</v>
      </c>
      <c r="C248" t="s">
        <v>59</v>
      </c>
      <c r="D248" t="str">
        <f t="shared" si="3"/>
        <v>CUST009</v>
      </c>
    </row>
    <row r="249" spans="1:4" x14ac:dyDescent="0.3">
      <c r="A249" t="s">
        <v>396</v>
      </c>
      <c r="B249" t="s">
        <v>293</v>
      </c>
      <c r="C249" t="s">
        <v>293</v>
      </c>
      <c r="D249" t="str">
        <f t="shared" si="3"/>
        <v>CUST045</v>
      </c>
    </row>
    <row r="250" spans="1:4" x14ac:dyDescent="0.3">
      <c r="A250" t="s">
        <v>397</v>
      </c>
      <c r="B250" t="s">
        <v>226</v>
      </c>
      <c r="C250" t="s">
        <v>226</v>
      </c>
      <c r="D250" t="str">
        <f t="shared" si="3"/>
        <v>CUST039</v>
      </c>
    </row>
    <row r="251" spans="1:4" x14ac:dyDescent="0.3">
      <c r="A251" t="s">
        <v>398</v>
      </c>
      <c r="B251" t="s">
        <v>138</v>
      </c>
      <c r="C251" t="s">
        <v>138</v>
      </c>
      <c r="D251" t="str">
        <f t="shared" si="3"/>
        <v>CUST031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13C9-0479-4506-9AB9-F0CBC0B7B155}">
  <dimension ref="A1:B20"/>
  <sheetViews>
    <sheetView workbookViewId="0">
      <selection activeCell="D18" sqref="D18"/>
    </sheetView>
  </sheetViews>
  <sheetFormatPr defaultRowHeight="14.4" x14ac:dyDescent="0.3"/>
  <cols>
    <col min="1" max="1" width="10.33203125" bestFit="1" customWidth="1"/>
    <col min="2" max="2" width="19.77734375" customWidth="1"/>
  </cols>
  <sheetData>
    <row r="1" spans="1:2" ht="15" thickBot="1" x14ac:dyDescent="0.35">
      <c r="A1" s="2" t="s">
        <v>1</v>
      </c>
      <c r="B1" s="8" t="s">
        <v>437</v>
      </c>
    </row>
    <row r="2" spans="1:2" ht="15" thickBot="1" x14ac:dyDescent="0.35">
      <c r="A2" s="4">
        <v>45393</v>
      </c>
      <c r="B2" s="8" t="str">
        <f>TEXT(A2,"MM-DD-YY")</f>
        <v>04-11-24</v>
      </c>
    </row>
    <row r="3" spans="1:2" ht="15" thickBot="1" x14ac:dyDescent="0.35">
      <c r="A3" s="4">
        <v>45396</v>
      </c>
      <c r="B3" s="8" t="str">
        <f t="shared" ref="B3:B19" si="0">TEXT(A3,"MM-DD-YY")</f>
        <v>04-14-24</v>
      </c>
    </row>
    <row r="4" spans="1:2" ht="15" thickBot="1" x14ac:dyDescent="0.35">
      <c r="A4" s="4">
        <v>45399</v>
      </c>
      <c r="B4" s="8" t="str">
        <f t="shared" si="0"/>
        <v>04-17-24</v>
      </c>
    </row>
    <row r="5" spans="1:2" ht="15" thickBot="1" x14ac:dyDescent="0.35">
      <c r="A5" s="4">
        <v>45400</v>
      </c>
      <c r="B5" s="8" t="str">
        <f t="shared" si="0"/>
        <v>04-18-24</v>
      </c>
    </row>
    <row r="6" spans="1:2" ht="15" thickBot="1" x14ac:dyDescent="0.35">
      <c r="A6" s="4">
        <v>45400</v>
      </c>
      <c r="B6" s="8" t="str">
        <f t="shared" si="0"/>
        <v>04-18-24</v>
      </c>
    </row>
    <row r="7" spans="1:2" ht="15" thickBot="1" x14ac:dyDescent="0.35">
      <c r="A7" s="4">
        <v>45403</v>
      </c>
      <c r="B7" s="8" t="str">
        <f t="shared" si="0"/>
        <v>04-21-24</v>
      </c>
    </row>
    <row r="8" spans="1:2" ht="15" thickBot="1" x14ac:dyDescent="0.35">
      <c r="A8" s="4">
        <v>45403</v>
      </c>
      <c r="B8" s="8" t="str">
        <f t="shared" si="0"/>
        <v>04-21-24</v>
      </c>
    </row>
    <row r="9" spans="1:2" ht="15" thickBot="1" x14ac:dyDescent="0.35">
      <c r="A9" s="4">
        <v>45403</v>
      </c>
      <c r="B9" s="8" t="str">
        <f t="shared" si="0"/>
        <v>04-21-24</v>
      </c>
    </row>
    <row r="10" spans="1:2" ht="15" thickBot="1" x14ac:dyDescent="0.35">
      <c r="A10" s="4">
        <v>45405</v>
      </c>
      <c r="B10" s="8" t="str">
        <f t="shared" si="0"/>
        <v>04-23-24</v>
      </c>
    </row>
    <row r="11" spans="1:2" ht="15" thickBot="1" x14ac:dyDescent="0.35">
      <c r="A11" s="4">
        <v>45408</v>
      </c>
      <c r="B11" s="8" t="str">
        <f t="shared" si="0"/>
        <v>04-26-24</v>
      </c>
    </row>
    <row r="12" spans="1:2" ht="15" thickBot="1" x14ac:dyDescent="0.35">
      <c r="A12" s="4">
        <v>45408</v>
      </c>
      <c r="B12" s="8" t="str">
        <f t="shared" si="0"/>
        <v>04-26-24</v>
      </c>
    </row>
    <row r="13" spans="1:2" ht="15" thickBot="1" x14ac:dyDescent="0.35">
      <c r="A13" s="4">
        <v>45408</v>
      </c>
      <c r="B13" s="8" t="str">
        <f t="shared" si="0"/>
        <v>04-26-24</v>
      </c>
    </row>
    <row r="14" spans="1:2" ht="15" thickBot="1" x14ac:dyDescent="0.35">
      <c r="A14" s="4">
        <v>45408</v>
      </c>
      <c r="B14" s="8" t="str">
        <f t="shared" si="0"/>
        <v>04-26-24</v>
      </c>
    </row>
    <row r="15" spans="1:2" ht="15" thickBot="1" x14ac:dyDescent="0.35">
      <c r="A15" s="4">
        <v>45409</v>
      </c>
      <c r="B15" s="8" t="str">
        <f t="shared" si="0"/>
        <v>04-27-24</v>
      </c>
    </row>
    <row r="16" spans="1:2" ht="15" thickBot="1" x14ac:dyDescent="0.35">
      <c r="A16" s="4">
        <v>45409</v>
      </c>
      <c r="B16" s="8" t="str">
        <f t="shared" si="0"/>
        <v>04-27-24</v>
      </c>
    </row>
    <row r="17" spans="1:2" ht="15" thickBot="1" x14ac:dyDescent="0.35">
      <c r="A17" s="4">
        <v>45409</v>
      </c>
      <c r="B17" s="8" t="str">
        <f t="shared" si="0"/>
        <v>04-27-24</v>
      </c>
    </row>
    <row r="18" spans="1:2" ht="15" thickBot="1" x14ac:dyDescent="0.35">
      <c r="A18" s="4">
        <v>45410</v>
      </c>
      <c r="B18" s="8" t="str">
        <f t="shared" si="0"/>
        <v>04-28-24</v>
      </c>
    </row>
    <row r="19" spans="1:2" ht="15" thickBot="1" x14ac:dyDescent="0.35">
      <c r="A19" s="4">
        <v>45410</v>
      </c>
      <c r="B19" s="8" t="str">
        <f t="shared" si="0"/>
        <v>04-28-24</v>
      </c>
    </row>
    <row r="20" spans="1:2" ht="15" thickBot="1" x14ac:dyDescent="0.35">
      <c r="A20" s="4">
        <v>45410</v>
      </c>
      <c r="B20" s="8" t="str">
        <f>TEXT(A20,"MM-DD-YY")</f>
        <v>04-28-24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FE6E-8A97-4AD1-BE6C-EBBCC2F1AFF6}">
  <dimension ref="A1"/>
  <sheetViews>
    <sheetView showGridLines="0" zoomScale="53" zoomScaleNormal="64" workbookViewId="0">
      <selection activeCell="AT16" sqref="AT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Dataset</vt:lpstr>
      <vt:lpstr>Date&amp; Time</vt:lpstr>
      <vt:lpstr>Filter</vt:lpstr>
      <vt:lpstr>condition formatting</vt:lpstr>
      <vt:lpstr>timestamp</vt:lpstr>
      <vt:lpstr>Goal seek</vt:lpstr>
      <vt:lpstr>Scenario Summary</vt:lpstr>
      <vt:lpstr>linear Regression</vt:lpstr>
      <vt:lpstr>High value customer</vt:lpstr>
      <vt:lpstr>Pivot</vt:lpstr>
      <vt:lpstr>Repeating name</vt:lpstr>
      <vt:lpstr>Extract maching names</vt:lpstr>
      <vt:lpstr>TEXT function</vt:lpstr>
      <vt:lpstr>Dashboard &amp;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Kokane</dc:creator>
  <cp:lastModifiedBy>Anita Kokane</cp:lastModifiedBy>
  <dcterms:created xsi:type="dcterms:W3CDTF">2026-02-01T08:19:26Z</dcterms:created>
  <dcterms:modified xsi:type="dcterms:W3CDTF">2026-02-08T16:26:31Z</dcterms:modified>
</cp:coreProperties>
</file>